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사용법" sheetId="1" state="visible" r:id="rId1"/>
    <sheet xmlns:r="http://schemas.openxmlformats.org/officeDocument/2006/relationships" name="tickers" sheetId="2" state="visible" r:id="rId2"/>
    <sheet xmlns:r="http://schemas.openxmlformats.org/officeDocument/2006/relationships" name="data_D" sheetId="3" state="visible" r:id="rId3"/>
    <sheet xmlns:r="http://schemas.openxmlformats.org/officeDocument/2006/relationships" name="data_W" sheetId="4" state="visible" r:id="rId4"/>
    <sheet xmlns:r="http://schemas.openxmlformats.org/officeDocument/2006/relationships" name="data_M" sheetId="5" state="visible" r:id="rId5"/>
  </sheets>
  <definedNames>
    <definedName name="_xlnm._FilterDatabase" localSheetId="1" hidden="1">'tickers'!$A$1:$N$142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algun Gothic"/>
      <b val="1"/>
      <color rgb="00000000"/>
      <sz val="10"/>
    </font>
    <font>
      <name val="Malgun Gothic"/>
      <color rgb="00000000"/>
      <sz val="10"/>
    </font>
    <font>
      <name val="Malgun Gothic"/>
      <color rgb="00000000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Bloomberg 데이터 취합 템플릿 v3 — 해운·물류 지표 대시보드 (검증된 티커만 수록)</t>
        </is>
      </c>
    </row>
    <row r="2">
      <c r="A2" s="2" t="inlineStr"/>
    </row>
    <row r="3">
      <c r="A3" s="1" t="inlineStr">
        <is>
          <t>[v2 → v3 변경]</t>
        </is>
      </c>
    </row>
    <row r="4">
      <c r="A4" s="2" t="inlineStr">
        <is>
          <t xml:space="preserve">  1. data 시트 BDH 방식 변경: 86개 티커를 한 수식으로 받던 매트릭스 방식(#NUM! 발생 — 범위 안에 무효 티커가 하나라도 있으면 전체 실패)을</t>
        </is>
      </c>
    </row>
    <row r="5">
      <c r="A5" s="2" t="inlineStr">
        <is>
          <t xml:space="preserve">     티커별 독립 BDH 블록(Date·Value 2열)으로 교체. 무효 티커는 자기 열만 #N/A 가 되고 나머지는 정상</t>
        </is>
      </c>
    </row>
    <row r="6">
      <c r="A6" s="2" t="inlineStr">
        <is>
          <t xml:space="preserve">  2. 세일링 TEU 24개 추가 (WSK Shipping Daily Container Ship Sailings, 15일 이동합). 국면판정 수요 축 구성 — 관세 front-loading·공급망 재편을 TEU로 직접 측정</t>
        </is>
      </c>
    </row>
    <row r="7">
      <c r="A7" s="2" t="inlineStr">
        <is>
          <t xml:space="preserve">  3. 2026-09-10 터미널 검증에서 값이 조회된 티커만 수록. 무효·오매핑·미확인 티커(FBX·HARPEX·BDTI·BCTI·BSIY·BCIY·TD3C/TD6 Baltic코드·VLSFO·JKM·CCFI·GOGL·WCI 상하이-로테르담·MSCI Marine)는 제외</t>
        </is>
      </c>
    </row>
    <row r="8">
      <c r="A8" s="2" t="inlineStr">
        <is>
          <t xml:space="preserve">  4. WSK Shipping 워크스페이스 티커 30개 반영: 초크포인트 통항 척수(수에즈·호르무즈·바브엘만데브·파나마·희망봉, 선종별 7D/24H),</t>
        </is>
      </c>
    </row>
    <row r="9">
      <c r="A9" s="2" t="inlineStr">
        <is>
          <t xml:space="preserve">     수에즈 체류일수, 탱커 스팟(VLCC·수에즈막스·아프라막스·LR2·MR, USD/day), TD3C FFA — 국면판정 "공급제약" 축과 대시보드 연동대기 항목(SUEZ·PANAMA·HORMUZ·CAPE_HOPE·TD3C·TD6)이 이 티커로 활성화</t>
        </is>
      </c>
    </row>
    <row r="10">
      <c r="A10" s="2" t="inlineStr"/>
    </row>
    <row r="11">
      <c r="A11" s="1" t="inlineStr">
        <is>
          <t>[구조]</t>
        </is>
      </c>
    </row>
    <row r="12">
      <c r="A12" s="2" t="inlineStr">
        <is>
          <t xml:space="preserve">  tickers : 지표 마스터 + BDP 검증열(NAME·PX_LAST·LAST_UPDATE_DT). #N/A 행 = 무효 티커</t>
        </is>
      </c>
    </row>
    <row r="13">
      <c r="A13" s="2" t="inlineStr">
        <is>
          <t xml:space="preserve">  data_D / data_W / data_M : 티커별 2열 블록. 1행 = "Date" | 티커, 2행 Date 열에 BDH 수식(2열×N행 출력)</t>
        </is>
      </c>
    </row>
    <row r="14">
      <c r="A14" s="2" t="inlineStr"/>
    </row>
    <row r="15">
      <c r="A15" s="1" t="inlineStr">
        <is>
          <t>[처음 열 때]</t>
        </is>
      </c>
    </row>
    <row r="16">
      <c r="A16" s="2" t="inlineStr">
        <is>
          <t xml:space="preserve">  1. 터미널 PC에서 열기 → tickers 검증열(L~N)이 전부 채워지는지 확인 (#N/A 가 있으면 알려주세요)</t>
        </is>
      </c>
    </row>
    <row r="17">
      <c r="A17" s="2" t="inlineStr">
        <is>
          <t xml:space="preserve">  2. data_D 시트 전체 선택 → F9 (또는 Bloomberg 리본 Refresh All). 블록이 아래로 채워지면 정상. 무효 티커 블록만 #N/A</t>
        </is>
      </c>
    </row>
    <row r="18">
      <c r="A18" s="2" t="inlineStr">
        <is>
          <t xml:space="preserve">  3. 저장: bbg_YYYYMMDD.xlsx → pipeline/inbox/</t>
        </is>
      </c>
    </row>
    <row r="19">
      <c r="A19" s="2" t="inlineStr"/>
    </row>
    <row r="20">
      <c r="A20" s="1" t="inlineStr">
        <is>
          <t>[매주 월요일] 열기 → Refresh All → 다른 이름으로 저장 → inbox 드롭. 끝</t>
        </is>
      </c>
    </row>
    <row r="21">
      <c r="A21" s="2" t="inlineStr"/>
    </row>
    <row r="22">
      <c r="A22" s="1" t="inlineStr">
        <is>
          <t>[티커 추가] 터미널에서 BDP로 값이 확인된 티커만 추가. tickers 행 추가 → 해당 data 시트 오른쪽 끝에 2열 블록 복사(1행 "Date"·티커, 2행 수식의 열 참조만 수정)</t>
        </is>
      </c>
    </row>
    <row r="23">
      <c r="A23" s="2" t="inlineStr"/>
    </row>
    <row r="24">
      <c r="A24" s="1" t="inlineStr">
        <is>
          <t>[Sheet1에서 아직 못 가져온 것]</t>
        </is>
      </c>
    </row>
    <row r="25">
      <c r="A25" s="2" t="inlineStr">
        <is>
          <t xml:space="preserve">  "Daily Container Ship Sailings by Route (15-Day Rolling TEU)" 섹션은 제목만 캡처되고 티커가 안 잡혔음.</t>
        </is>
      </c>
    </row>
    <row r="26">
      <c r="A26" s="2" t="inlineStr">
        <is>
          <t xml:space="preserve">  WSK에서 그 표를 다시 복사해 주면(티커 열 포함) 수요축(미국행 TEU by 국가, 중국발 TEU)에 추가 — 관세 front-loading 정량화에 가장 좋은 데이터</t>
        </is>
      </c>
    </row>
    <row r="27">
      <c r="A27" s="2" t="inlineStr"/>
    </row>
    <row r="28">
      <c r="A28" s="1" t="inlineStr">
        <is>
          <t>[주의] Bloomberg 데이터 재배포 제한 — 대시보드 접근은 팀 내부 한정. 공표용 대시보드에는 Bloomberg 원천 시계열을 넣지 않는다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8" customWidth="1" min="2" max="2"/>
    <col width="36" customWidth="1" min="3" max="3"/>
    <col width="10" customWidth="1" min="4" max="4"/>
    <col width="16" customWidth="1" min="5" max="5"/>
    <col width="9" customWidth="1" min="6" max="6"/>
    <col width="6" customWidth="1" min="7" max="7"/>
    <col width="9" customWidth="1" min="8" max="8"/>
    <col width="11" customWidth="1" min="9" max="9"/>
    <col width="18" customWidth="1" min="10" max="10"/>
    <col width="60" customWidth="1" min="11" max="11"/>
    <col width="30" customWidth="1" min="12" max="12"/>
    <col width="14" customWidth="1" min="13" max="13"/>
    <col width="16" customWidth="1" min="14" max="14"/>
  </cols>
  <sheetData>
    <row r="1">
      <c r="A1" s="3" t="inlineStr">
        <is>
          <t>ticker</t>
        </is>
      </c>
      <c r="B1" s="3" t="inlineStr">
        <is>
          <t>code</t>
        </is>
      </c>
      <c r="C1" s="3" t="inlineStr">
        <is>
          <t>name_ko</t>
        </is>
      </c>
      <c r="D1" s="3" t="inlineStr">
        <is>
          <t>axis(축)</t>
        </is>
      </c>
      <c r="E1" s="3" t="inlineStr">
        <is>
          <t>group</t>
        </is>
      </c>
      <c r="F1" s="3" t="inlineStr">
        <is>
          <t>unit</t>
        </is>
      </c>
      <c r="G1" s="3" t="inlineStr">
        <is>
          <t>freq</t>
        </is>
      </c>
      <c r="H1" s="3" t="inlineStr">
        <is>
          <t>field</t>
        </is>
      </c>
      <c r="I1" s="3" t="inlineStr">
        <is>
          <t>start</t>
        </is>
      </c>
      <c r="J1" s="3" t="inlineStr">
        <is>
          <t>status</t>
        </is>
      </c>
      <c r="K1" s="3" t="inlineStr">
        <is>
          <t>비고 / 대체 후보</t>
        </is>
      </c>
      <c r="L1" s="3" t="inlineStr">
        <is>
          <t>검증: NAME (BDP)</t>
        </is>
      </c>
      <c r="M1" s="3" t="inlineStr">
        <is>
          <t>검증: PX_LAST (BDP)</t>
        </is>
      </c>
      <c r="N1" s="3" t="inlineStr">
        <is>
          <t>검증: LAST_UPDATE_DT (BDP)</t>
        </is>
      </c>
    </row>
    <row r="2">
      <c r="A2" s="4" t="inlineStr">
        <is>
          <t>SHSPSCFI Index</t>
        </is>
      </c>
      <c r="B2" s="4" t="inlineStr">
        <is>
          <t>SCFI_BBG</t>
        </is>
      </c>
      <c r="C2" s="4" t="inlineStr">
        <is>
          <t>SCFI 종합 (상하이발)</t>
        </is>
      </c>
      <c r="D2" s="4" t="inlineStr">
        <is>
          <t>가격</t>
        </is>
      </c>
      <c r="E2" s="4" t="inlineStr">
        <is>
          <t>컨테이너 운임</t>
        </is>
      </c>
      <c r="F2" s="4" t="inlineStr">
        <is>
          <t>pt</t>
        </is>
      </c>
      <c r="G2" s="4" t="inlineStr">
        <is>
          <t>W</t>
        </is>
      </c>
      <c r="H2" s="4" t="inlineStr">
        <is>
          <t>PX_LAST</t>
        </is>
      </c>
      <c r="I2" s="4" t="inlineStr">
        <is>
          <t>2015-01-01</t>
        </is>
      </c>
      <c r="J2" s="4" t="inlineStr">
        <is>
          <t>확정(2026-09-10 검증)</t>
        </is>
      </c>
      <c r="K2" s="5" t="inlineStr">
        <is>
          <t>3,590.05 (9/4)</t>
        </is>
      </c>
      <c r="L2" s="4">
        <f>BDP($A2,"NAME")</f>
        <v/>
      </c>
      <c r="M2" s="4">
        <f>BDP($A2,"PX_LAST")</f>
        <v/>
      </c>
      <c r="N2" s="4">
        <f>BDP($A2,"LAST_UPDATE_DT")</f>
        <v/>
      </c>
    </row>
    <row r="3">
      <c r="A3" s="4" t="inlineStr">
        <is>
          <t>WCIDCOMP Index</t>
        </is>
      </c>
      <c r="B3" s="4" t="inlineStr">
        <is>
          <t>WCI</t>
        </is>
      </c>
      <c r="C3" s="4" t="inlineStr">
        <is>
          <t>Drewry WCI 종합</t>
        </is>
      </c>
      <c r="D3" s="4" t="inlineStr">
        <is>
          <t>가격</t>
        </is>
      </c>
      <c r="E3" s="4" t="inlineStr">
        <is>
          <t>컨테이너 운임</t>
        </is>
      </c>
      <c r="F3" s="4" t="inlineStr">
        <is>
          <t>$/FEU</t>
        </is>
      </c>
      <c r="G3" s="4" t="inlineStr">
        <is>
          <t>W</t>
        </is>
      </c>
      <c r="H3" s="4" t="inlineStr">
        <is>
          <t>PX_LAST</t>
        </is>
      </c>
      <c r="I3" s="4" t="inlineStr">
        <is>
          <t>2015-01-01</t>
        </is>
      </c>
      <c r="J3" s="4" t="inlineStr">
        <is>
          <t>확정(2026-09-10 검증)</t>
        </is>
      </c>
      <c r="K3" s="5" t="inlineStr">
        <is>
          <t>4,476 (9/10)</t>
        </is>
      </c>
      <c r="L3" s="4">
        <f>BDP($A3,"NAME")</f>
        <v/>
      </c>
      <c r="M3" s="4">
        <f>BDP($A3,"PX_LAST")</f>
        <v/>
      </c>
      <c r="N3" s="4">
        <f>BDP($A3,"LAST_UPDATE_DT")</f>
        <v/>
      </c>
    </row>
    <row r="4">
      <c r="A4" s="4" t="inlineStr">
        <is>
          <t>WCIDSHLA Index</t>
        </is>
      </c>
      <c r="B4" s="4" t="inlineStr">
        <is>
          <t>WCI_SH_LA</t>
        </is>
      </c>
      <c r="C4" s="4" t="inlineStr">
        <is>
          <t>Drewry WCI 상하이→LA</t>
        </is>
      </c>
      <c r="D4" s="4" t="inlineStr">
        <is>
          <t>가격</t>
        </is>
      </c>
      <c r="E4" s="4" t="inlineStr">
        <is>
          <t>컨테이너 운임</t>
        </is>
      </c>
      <c r="F4" s="4" t="inlineStr">
        <is>
          <t>$/FEU</t>
        </is>
      </c>
      <c r="G4" s="4" t="inlineStr">
        <is>
          <t>W</t>
        </is>
      </c>
      <c r="H4" s="4" t="inlineStr">
        <is>
          <t>PX_LAST</t>
        </is>
      </c>
      <c r="I4" s="4" t="inlineStr">
        <is>
          <t>2015-01-01</t>
        </is>
      </c>
      <c r="J4" s="4" t="inlineStr">
        <is>
          <t>확정(2026-09-10 검증)</t>
        </is>
      </c>
      <c r="K4" s="5" t="inlineStr"/>
      <c r="L4" s="4">
        <f>BDP($A4,"NAME")</f>
        <v/>
      </c>
      <c r="M4" s="4">
        <f>BDP($A4,"PX_LAST")</f>
        <v/>
      </c>
      <c r="N4" s="4">
        <f>BDP($A4,"LAST_UPDATE_DT")</f>
        <v/>
      </c>
    </row>
    <row r="5">
      <c r="A5" s="4" t="inlineStr">
        <is>
          <t>BDIY Index</t>
        </is>
      </c>
      <c r="B5" s="4" t="inlineStr">
        <is>
          <t>BDI_BBG</t>
        </is>
      </c>
      <c r="C5" s="4" t="inlineStr">
        <is>
          <t>Baltic Dry Index</t>
        </is>
      </c>
      <c r="D5" s="4" t="inlineStr">
        <is>
          <t>가격</t>
        </is>
      </c>
      <c r="E5" s="4" t="inlineStr">
        <is>
          <t>벌크 운임</t>
        </is>
      </c>
      <c r="F5" s="4" t="inlineStr">
        <is>
          <t>pt</t>
        </is>
      </c>
      <c r="G5" s="4" t="inlineStr">
        <is>
          <t>D</t>
        </is>
      </c>
      <c r="H5" s="4" t="inlineStr">
        <is>
          <t>PX_LAST</t>
        </is>
      </c>
      <c r="I5" s="4" t="inlineStr">
        <is>
          <t>2015-01-01</t>
        </is>
      </c>
      <c r="J5" s="4" t="inlineStr">
        <is>
          <t>확정(2026-09-10 검증)</t>
        </is>
      </c>
      <c r="K5" s="5" t="inlineStr">
        <is>
          <t>3,620 (9/9)</t>
        </is>
      </c>
      <c r="L5" s="4">
        <f>BDP($A5,"NAME")</f>
        <v/>
      </c>
      <c r="M5" s="4">
        <f>BDP($A5,"PX_LAST")</f>
        <v/>
      </c>
      <c r="N5" s="4">
        <f>BDP($A5,"LAST_UPDATE_DT")</f>
        <v/>
      </c>
    </row>
    <row r="6">
      <c r="A6" s="4" t="inlineStr">
        <is>
          <t>BPIY Index</t>
        </is>
      </c>
      <c r="B6" s="4" t="inlineStr">
        <is>
          <t>BPI</t>
        </is>
      </c>
      <c r="C6" s="4" t="inlineStr">
        <is>
          <t>Baltic Panamax</t>
        </is>
      </c>
      <c r="D6" s="4" t="inlineStr">
        <is>
          <t>가격</t>
        </is>
      </c>
      <c r="E6" s="4" t="inlineStr">
        <is>
          <t>벌크 운임</t>
        </is>
      </c>
      <c r="F6" s="4" t="inlineStr">
        <is>
          <t>pt</t>
        </is>
      </c>
      <c r="G6" s="4" t="inlineStr">
        <is>
          <t>D</t>
        </is>
      </c>
      <c r="H6" s="4" t="inlineStr">
        <is>
          <t>PX_LAST</t>
        </is>
      </c>
      <c r="I6" s="4" t="inlineStr">
        <is>
          <t>2015-01-01</t>
        </is>
      </c>
      <c r="J6" s="4" t="inlineStr">
        <is>
          <t>확정(2026-09-10 검증)</t>
        </is>
      </c>
      <c r="K6" s="5" t="inlineStr">
        <is>
          <t>2,414 (9/9). 파나마·곡물</t>
        </is>
      </c>
      <c r="L6" s="4">
        <f>BDP($A6,"NAME")</f>
        <v/>
      </c>
      <c r="M6" s="4">
        <f>BDP($A6,"PX_LAST")</f>
        <v/>
      </c>
      <c r="N6" s="4">
        <f>BDP($A6,"LAST_UPDATE_DT")</f>
        <v/>
      </c>
    </row>
    <row r="7">
      <c r="A7" s="4" t="inlineStr">
        <is>
          <t>BHSI Index</t>
        </is>
      </c>
      <c r="B7" s="4" t="inlineStr">
        <is>
          <t>BHSI</t>
        </is>
      </c>
      <c r="C7" s="4" t="inlineStr">
        <is>
          <t>Baltic Handysize</t>
        </is>
      </c>
      <c r="D7" s="4" t="inlineStr">
        <is>
          <t>가격</t>
        </is>
      </c>
      <c r="E7" s="4" t="inlineStr">
        <is>
          <t>벌크 운임</t>
        </is>
      </c>
      <c r="F7" s="4" t="inlineStr">
        <is>
          <t>pt</t>
        </is>
      </c>
      <c r="G7" s="4" t="inlineStr">
        <is>
          <t>D</t>
        </is>
      </c>
      <c r="H7" s="4" t="inlineStr">
        <is>
          <t>PX_LAST</t>
        </is>
      </c>
      <c r="I7" s="4" t="inlineStr">
        <is>
          <t>2015-01-01</t>
        </is>
      </c>
      <c r="J7" s="4" t="inlineStr">
        <is>
          <t>확정(2026-09-10 검증)</t>
        </is>
      </c>
      <c r="K7" s="5" t="inlineStr">
        <is>
          <t>922 (9/9). KDCI 핸디 대응</t>
        </is>
      </c>
      <c r="L7" s="4">
        <f>BDP($A7,"NAME")</f>
        <v/>
      </c>
      <c r="M7" s="4">
        <f>BDP($A7,"PX_LAST")</f>
        <v/>
      </c>
      <c r="N7" s="4">
        <f>BDP($A7,"LAST_UPDATE_DT")</f>
        <v/>
      </c>
    </row>
    <row r="8">
      <c r="A8" s="4" t="inlineStr">
        <is>
          <t>D27DAGNI GALB Index</t>
        </is>
      </c>
      <c r="B8" s="4" t="inlineStr">
        <is>
          <t>TD3C</t>
        </is>
      </c>
      <c r="C8" s="4" t="inlineStr">
        <is>
          <t>VLCC 중동걸프→중국 스팟 (USD/day)</t>
        </is>
      </c>
      <c r="D8" s="4" t="inlineStr">
        <is>
          <t>가격</t>
        </is>
      </c>
      <c r="E8" s="4" t="inlineStr">
        <is>
          <t>탱커 운임</t>
        </is>
      </c>
      <c r="F8" s="4" t="inlineStr">
        <is>
          <t>$/day</t>
        </is>
      </c>
      <c r="G8" s="4" t="inlineStr">
        <is>
          <t>D</t>
        </is>
      </c>
      <c r="H8" s="4" t="inlineStr">
        <is>
          <t>PX_LAST</t>
        </is>
      </c>
      <c r="I8" s="4" t="inlineStr">
        <is>
          <t>2015-01-01</t>
        </is>
      </c>
      <c r="J8" s="4" t="inlineStr">
        <is>
          <t>확정(2026-09-10 검증)</t>
        </is>
      </c>
      <c r="K8" s="5" t="inlineStr">
        <is>
          <t>333,416 (9/9). TD3C 대응. 호르무즈 지역 대표</t>
        </is>
      </c>
      <c r="L8" s="4">
        <f>BDP($A8,"NAME")</f>
        <v/>
      </c>
      <c r="M8" s="4">
        <f>BDP($A8,"PX_LAST")</f>
        <v/>
      </c>
      <c r="N8" s="4">
        <f>BDP($A8,"LAST_UPDATE_DT")</f>
        <v/>
      </c>
    </row>
    <row r="9">
      <c r="A9" s="4" t="inlineStr">
        <is>
          <t>GTCEAGUL GALB Index</t>
        </is>
      </c>
      <c r="B9" s="4" t="inlineStr">
        <is>
          <t>VLCC_GULF_ULSAN</t>
        </is>
      </c>
      <c r="C9" s="4" t="inlineStr">
        <is>
          <t>VLCC 중동걸프→울산 스팟</t>
        </is>
      </c>
      <c r="D9" s="4" t="inlineStr">
        <is>
          <t>가격</t>
        </is>
      </c>
      <c r="E9" s="4" t="inlineStr">
        <is>
          <t>탱커 운임</t>
        </is>
      </c>
      <c r="F9" s="4" t="inlineStr">
        <is>
          <t>$/day</t>
        </is>
      </c>
      <c r="G9" s="4" t="inlineStr">
        <is>
          <t>D</t>
        </is>
      </c>
      <c r="H9" s="4" t="inlineStr">
        <is>
          <t>PX_LAST</t>
        </is>
      </c>
      <c r="I9" s="4" t="inlineStr">
        <is>
          <t>2015-01-01</t>
        </is>
      </c>
      <c r="J9" s="4" t="inlineStr">
        <is>
          <t>확정(2026-09-10 검증)</t>
        </is>
      </c>
      <c r="K9" s="5" t="inlineStr">
        <is>
          <t>한국 정유 원유 도입 운임</t>
        </is>
      </c>
      <c r="L9" s="4">
        <f>BDP($A9,"NAME")</f>
        <v/>
      </c>
      <c r="M9" s="4">
        <f>BDP($A9,"PX_LAST")</f>
        <v/>
      </c>
      <c r="N9" s="4">
        <f>BDP($A9,"LAST_UPDATE_DT")</f>
        <v/>
      </c>
    </row>
    <row r="10">
      <c r="A10" s="4" t="inlineStr">
        <is>
          <t>GTCEAGUS GALB Index</t>
        </is>
      </c>
      <c r="B10" s="4" t="inlineStr">
        <is>
          <t>VLCC_GULF_USG</t>
        </is>
      </c>
      <c r="C10" s="4" t="inlineStr">
        <is>
          <t>VLCC 중동걸프→미걸프 스팟</t>
        </is>
      </c>
      <c r="D10" s="4" t="inlineStr">
        <is>
          <t>가격</t>
        </is>
      </c>
      <c r="E10" s="4" t="inlineStr">
        <is>
          <t>탱커 운임</t>
        </is>
      </c>
      <c r="F10" s="4" t="inlineStr">
        <is>
          <t>$/day</t>
        </is>
      </c>
      <c r="G10" s="4" t="inlineStr">
        <is>
          <t>D</t>
        </is>
      </c>
      <c r="H10" s="4" t="inlineStr">
        <is>
          <t>PX_LAST</t>
        </is>
      </c>
      <c r="I10" s="4" t="inlineStr">
        <is>
          <t>2015-01-01</t>
        </is>
      </c>
      <c r="J10" s="4" t="inlineStr">
        <is>
          <t>확정(2026-09-10 검증)</t>
        </is>
      </c>
      <c r="K10" s="5" t="inlineStr">
        <is>
          <t>희망봉 경유 장거리</t>
        </is>
      </c>
      <c r="L10" s="4">
        <f>BDP($A10,"NAME")</f>
        <v/>
      </c>
      <c r="M10" s="4">
        <f>BDP($A10,"PX_LAST")</f>
        <v/>
      </c>
      <c r="N10" s="4">
        <f>BDP($A10,"LAST_UPDATE_DT")</f>
        <v/>
      </c>
    </row>
    <row r="11">
      <c r="A11" s="4" t="inlineStr">
        <is>
          <t>GTCEAGFE Index</t>
        </is>
      </c>
      <c r="B11" s="4" t="inlineStr">
        <is>
          <t>TD6</t>
        </is>
      </c>
      <c r="C11" s="4" t="inlineStr">
        <is>
          <t>수에즈막스 중동걸프→극동 스팟 (USD/day)</t>
        </is>
      </c>
      <c r="D11" s="4" t="inlineStr">
        <is>
          <t>가격</t>
        </is>
      </c>
      <c r="E11" s="4" t="inlineStr">
        <is>
          <t>탱커 운임</t>
        </is>
      </c>
      <c r="F11" s="4" t="inlineStr">
        <is>
          <t>$/day</t>
        </is>
      </c>
      <c r="G11" s="4" t="inlineStr">
        <is>
          <t>D</t>
        </is>
      </c>
      <c r="H11" s="4" t="inlineStr">
        <is>
          <t>PX_LAST</t>
        </is>
      </c>
      <c r="I11" s="4" t="inlineStr">
        <is>
          <t>2015-01-01</t>
        </is>
      </c>
      <c r="J11" s="4" t="inlineStr">
        <is>
          <t>확정(2026-09-10 검증)</t>
        </is>
      </c>
      <c r="K11" s="5" t="inlineStr">
        <is>
          <t>287,003 (9/9). TD6(흑해→지중해) 대용. 흑해 항로는 SECF "Suezmax Black Sea" 검색</t>
        </is>
      </c>
      <c r="L11" s="4">
        <f>BDP($A11,"NAME")</f>
        <v/>
      </c>
      <c r="M11" s="4">
        <f>BDP($A11,"PX_LAST")</f>
        <v/>
      </c>
      <c r="N11" s="4">
        <f>BDP($A11,"LAST_UPDATE_DT")</f>
        <v/>
      </c>
    </row>
    <row r="12">
      <c r="A12" s="4" t="inlineStr">
        <is>
          <t>GTCEAFEA GALB Index</t>
        </is>
      </c>
      <c r="B12" s="4" t="inlineStr">
        <is>
          <t>AFRAMAX_GULF_FE</t>
        </is>
      </c>
      <c r="C12" s="4" t="inlineStr">
        <is>
          <t>아프라막스 중동걸프→극동 스팟</t>
        </is>
      </c>
      <c r="D12" s="4" t="inlineStr">
        <is>
          <t>가격</t>
        </is>
      </c>
      <c r="E12" s="4" t="inlineStr">
        <is>
          <t>탱커 운임</t>
        </is>
      </c>
      <c r="F12" s="4" t="inlineStr">
        <is>
          <t>$/day</t>
        </is>
      </c>
      <c r="G12" s="4" t="inlineStr">
        <is>
          <t>D</t>
        </is>
      </c>
      <c r="H12" s="4" t="inlineStr">
        <is>
          <t>PX_LAST</t>
        </is>
      </c>
      <c r="I12" s="4" t="inlineStr">
        <is>
          <t>2015-01-01</t>
        </is>
      </c>
      <c r="J12" s="4" t="inlineStr">
        <is>
          <t>확정(2026-09-10 검증)</t>
        </is>
      </c>
      <c r="K12" s="5" t="inlineStr"/>
      <c r="L12" s="4">
        <f>BDP($A12,"NAME")</f>
        <v/>
      </c>
      <c r="M12" s="4">
        <f>BDP($A12,"PX_LAST")</f>
        <v/>
      </c>
      <c r="N12" s="4">
        <f>BDP($A12,"LAST_UPDATE_DT")</f>
        <v/>
      </c>
    </row>
    <row r="13">
      <c r="A13" s="4" t="inlineStr">
        <is>
          <t>GTCEAGPO GALB Index</t>
        </is>
      </c>
      <c r="B13" s="4" t="inlineStr">
        <is>
          <t>LR2_GULF_SG</t>
        </is>
      </c>
      <c r="C13" s="4" t="inlineStr">
        <is>
          <t>LR2 제품선 중동걸프→싱가포르</t>
        </is>
      </c>
      <c r="D13" s="4" t="inlineStr">
        <is>
          <t>가격</t>
        </is>
      </c>
      <c r="E13" s="4" t="inlineStr">
        <is>
          <t>탱커 운임</t>
        </is>
      </c>
      <c r="F13" s="4" t="inlineStr">
        <is>
          <t>$/day</t>
        </is>
      </c>
      <c r="G13" s="4" t="inlineStr">
        <is>
          <t>D</t>
        </is>
      </c>
      <c r="H13" s="4" t="inlineStr">
        <is>
          <t>PX_LAST</t>
        </is>
      </c>
      <c r="I13" s="4" t="inlineStr">
        <is>
          <t>2015-01-01</t>
        </is>
      </c>
      <c r="J13" s="4" t="inlineStr">
        <is>
          <t>확정(2026-09-10 검증)</t>
        </is>
      </c>
      <c r="K13" s="5" t="inlineStr">
        <is>
          <t>정제품·나프타</t>
        </is>
      </c>
      <c r="L13" s="4">
        <f>BDP($A13,"NAME")</f>
        <v/>
      </c>
      <c r="M13" s="4">
        <f>BDP($A13,"PX_LAST")</f>
        <v/>
      </c>
      <c r="N13" s="4">
        <f>BDP($A13,"LAST_UPDATE_DT")</f>
        <v/>
      </c>
    </row>
    <row r="14">
      <c r="A14" s="4" t="inlineStr">
        <is>
          <t>GTCEAORE GALB Index</t>
        </is>
      </c>
      <c r="B14" s="4" t="inlineStr">
        <is>
          <t>MR_GULF_SG</t>
        </is>
      </c>
      <c r="C14" s="4" t="inlineStr">
        <is>
          <t>MR 제품선 중동걸프→싱가포르</t>
        </is>
      </c>
      <c r="D14" s="4" t="inlineStr">
        <is>
          <t>가격</t>
        </is>
      </c>
      <c r="E14" s="4" t="inlineStr">
        <is>
          <t>탱커 운임</t>
        </is>
      </c>
      <c r="F14" s="4" t="inlineStr">
        <is>
          <t>$/day</t>
        </is>
      </c>
      <c r="G14" s="4" t="inlineStr">
        <is>
          <t>D</t>
        </is>
      </c>
      <c r="H14" s="4" t="inlineStr">
        <is>
          <t>PX_LAST</t>
        </is>
      </c>
      <c r="I14" s="4" t="inlineStr">
        <is>
          <t>2015-01-01</t>
        </is>
      </c>
      <c r="J14" s="4" t="inlineStr">
        <is>
          <t>확정(2026-09-10 검증)</t>
        </is>
      </c>
      <c r="K14" s="5" t="inlineStr"/>
      <c r="L14" s="4">
        <f>BDP($A14,"NAME")</f>
        <v/>
      </c>
      <c r="M14" s="4">
        <f>BDP($A14,"PX_LAST")</f>
        <v/>
      </c>
      <c r="N14" s="4">
        <f>BDP($A14,"LAST_UPDATE_DT")</f>
        <v/>
      </c>
    </row>
    <row r="15">
      <c r="A15" s="4" t="inlineStr">
        <is>
          <t>FD3CM0 Index</t>
        </is>
      </c>
      <c r="B15" s="4" t="inlineStr">
        <is>
          <t>TD3C_FFA</t>
        </is>
      </c>
      <c r="C15" s="4" t="inlineStr">
        <is>
          <t>TD3C FFA 페어밸류 (USD/MT)</t>
        </is>
      </c>
      <c r="D15" s="4" t="inlineStr">
        <is>
          <t>가격</t>
        </is>
      </c>
      <c r="E15" s="4" t="inlineStr">
        <is>
          <t>탱커 운임</t>
        </is>
      </c>
      <c r="F15" s="4" t="inlineStr">
        <is>
          <t>$/MT</t>
        </is>
      </c>
      <c r="G15" s="4" t="inlineStr">
        <is>
          <t>D</t>
        </is>
      </c>
      <c r="H15" s="4" t="inlineStr">
        <is>
          <t>PX_LAST</t>
        </is>
      </c>
      <c r="I15" s="4" t="inlineStr">
        <is>
          <t>2015-01-01</t>
        </is>
      </c>
      <c r="J15" s="4" t="inlineStr">
        <is>
          <t>확정(2026-09-10 검증)</t>
        </is>
      </c>
      <c r="K15" s="5" t="inlineStr">
        <is>
          <t>140.9 (9/9). 시장 기대 운임</t>
        </is>
      </c>
      <c r="L15" s="4">
        <f>BDP($A15,"NAME")</f>
        <v/>
      </c>
      <c r="M15" s="4">
        <f>BDP($A15,"PX_LAST")</f>
        <v/>
      </c>
      <c r="N15" s="4">
        <f>BDP($A15,"LAST_UPDATE_DT")</f>
        <v/>
      </c>
    </row>
    <row r="16">
      <c r="A16" s="4" t="inlineStr">
        <is>
          <t>TRSSCTCT Index</t>
        </is>
      </c>
      <c r="B16" s="4" t="inlineStr">
        <is>
          <t>SUEZ</t>
        </is>
      </c>
      <c r="C16" s="4" t="inlineStr">
        <is>
          <t>수에즈 남→북 컨테이너선 (7D, 아시아→유럽)</t>
        </is>
      </c>
      <c r="D16" s="4" t="inlineStr">
        <is>
          <t>공급제약</t>
        </is>
      </c>
      <c r="E16" s="4" t="inlineStr">
        <is>
          <t>초크포인트 통항</t>
        </is>
      </c>
      <c r="F16" s="4" t="inlineStr">
        <is>
          <t>척</t>
        </is>
      </c>
      <c r="G16" s="4" t="inlineStr">
        <is>
          <t>D</t>
        </is>
      </c>
      <c r="H16" s="4" t="inlineStr">
        <is>
          <t>PX_LAST</t>
        </is>
      </c>
      <c r="I16" s="4" t="inlineStr">
        <is>
          <t>2018-01-01</t>
        </is>
      </c>
      <c r="J16" s="4" t="inlineStr">
        <is>
          <t>확정(2026-09-10 검증)</t>
        </is>
      </c>
      <c r="K16" s="5" t="inlineStr">
        <is>
          <t>24 (9/9). 대시보드 SUEZ 항목 활성화</t>
        </is>
      </c>
      <c r="L16" s="4">
        <f>BDP($A16,"NAME")</f>
        <v/>
      </c>
      <c r="M16" s="4">
        <f>BDP($A16,"PX_LAST")</f>
        <v/>
      </c>
      <c r="N16" s="4">
        <f>BDP($A16,"LAST_UPDATE_DT")</f>
        <v/>
      </c>
    </row>
    <row r="17">
      <c r="A17" s="4" t="inlineStr">
        <is>
          <t>TRSNCTCT Index</t>
        </is>
      </c>
      <c r="B17" s="4" t="inlineStr">
        <is>
          <t>SUEZ_NS_CT</t>
        </is>
      </c>
      <c r="C17" s="4" t="inlineStr">
        <is>
          <t>수에즈 북→남 컨테이너선 (7D)</t>
        </is>
      </c>
      <c r="D17" s="4" t="inlineStr">
        <is>
          <t>공급제약</t>
        </is>
      </c>
      <c r="E17" s="4" t="inlineStr">
        <is>
          <t>초크포인트 통항</t>
        </is>
      </c>
      <c r="F17" s="4" t="inlineStr">
        <is>
          <t>척</t>
        </is>
      </c>
      <c r="G17" s="4" t="inlineStr">
        <is>
          <t>D</t>
        </is>
      </c>
      <c r="H17" s="4" t="inlineStr">
        <is>
          <t>PX_LAST</t>
        </is>
      </c>
      <c r="I17" s="4" t="inlineStr">
        <is>
          <t>2018-01-01</t>
        </is>
      </c>
      <c r="J17" s="4" t="inlineStr">
        <is>
          <t>확정(2026-09-10 검증)</t>
        </is>
      </c>
      <c r="K17" s="5" t="inlineStr"/>
      <c r="L17" s="4">
        <f>BDP($A17,"NAME")</f>
        <v/>
      </c>
      <c r="M17" s="4">
        <f>BDP($A17,"PX_LAST")</f>
        <v/>
      </c>
      <c r="N17" s="4">
        <f>BDP($A17,"LAST_UPDATE_DT")</f>
        <v/>
      </c>
    </row>
    <row r="18">
      <c r="A18" s="4" t="inlineStr">
        <is>
          <t>TRSSTKCT Index</t>
        </is>
      </c>
      <c r="B18" s="4" t="inlineStr">
        <is>
          <t>SUEZ_SN_TK</t>
        </is>
      </c>
      <c r="C18" s="4" t="inlineStr">
        <is>
          <t>수에즈 남→북 탱커 (7D)</t>
        </is>
      </c>
      <c r="D18" s="4" t="inlineStr">
        <is>
          <t>공급제약</t>
        </is>
      </c>
      <c r="E18" s="4" t="inlineStr">
        <is>
          <t>초크포인트 통항</t>
        </is>
      </c>
      <c r="F18" s="4" t="inlineStr">
        <is>
          <t>척</t>
        </is>
      </c>
      <c r="G18" s="4" t="inlineStr">
        <is>
          <t>D</t>
        </is>
      </c>
      <c r="H18" s="4" t="inlineStr">
        <is>
          <t>PX_LAST</t>
        </is>
      </c>
      <c r="I18" s="4" t="inlineStr">
        <is>
          <t>2018-01-01</t>
        </is>
      </c>
      <c r="J18" s="4" t="inlineStr">
        <is>
          <t>확정(2026-09-10 검증)</t>
        </is>
      </c>
      <c r="K18" s="5" t="inlineStr"/>
      <c r="L18" s="4">
        <f>BDP($A18,"NAME")</f>
        <v/>
      </c>
      <c r="M18" s="4">
        <f>BDP($A18,"PX_LAST")</f>
        <v/>
      </c>
      <c r="N18" s="4">
        <f>BDP($A18,"LAST_UPDATE_DT")</f>
        <v/>
      </c>
    </row>
    <row r="19">
      <c r="A19" s="4" t="inlineStr">
        <is>
          <t>TRSNTKCT Index</t>
        </is>
      </c>
      <c r="B19" s="4" t="inlineStr">
        <is>
          <t>SUEZ_NS_TK</t>
        </is>
      </c>
      <c r="C19" s="4" t="inlineStr">
        <is>
          <t>수에즈 북→남 탱커 (7D)</t>
        </is>
      </c>
      <c r="D19" s="4" t="inlineStr">
        <is>
          <t>공급제약</t>
        </is>
      </c>
      <c r="E19" s="4" t="inlineStr">
        <is>
          <t>초크포인트 통항</t>
        </is>
      </c>
      <c r="F19" s="4" t="inlineStr">
        <is>
          <t>척</t>
        </is>
      </c>
      <c r="G19" s="4" t="inlineStr">
        <is>
          <t>D</t>
        </is>
      </c>
      <c r="H19" s="4" t="inlineStr">
        <is>
          <t>PX_LAST</t>
        </is>
      </c>
      <c r="I19" s="4" t="inlineStr">
        <is>
          <t>2018-01-01</t>
        </is>
      </c>
      <c r="J19" s="4" t="inlineStr">
        <is>
          <t>확정(2026-09-10 검증)</t>
        </is>
      </c>
      <c r="K19" s="5" t="inlineStr"/>
      <c r="L19" s="4">
        <f>BDP($A19,"NAME")</f>
        <v/>
      </c>
      <c r="M19" s="4">
        <f>BDP($A19,"PX_LAST")</f>
        <v/>
      </c>
      <c r="N19" s="4">
        <f>BDP($A19,"LAST_UPDATE_DT")</f>
        <v/>
      </c>
    </row>
    <row r="20">
      <c r="A20" s="4" t="inlineStr">
        <is>
          <t>TRSSBKCT Index</t>
        </is>
      </c>
      <c r="B20" s="4" t="inlineStr">
        <is>
          <t>SUEZ_SN_BK</t>
        </is>
      </c>
      <c r="C20" s="4" t="inlineStr">
        <is>
          <t>수에즈 남→북 벌커 (7D)</t>
        </is>
      </c>
      <c r="D20" s="4" t="inlineStr">
        <is>
          <t>공급제약</t>
        </is>
      </c>
      <c r="E20" s="4" t="inlineStr">
        <is>
          <t>초크포인트 통항</t>
        </is>
      </c>
      <c r="F20" s="4" t="inlineStr">
        <is>
          <t>척</t>
        </is>
      </c>
      <c r="G20" s="4" t="inlineStr">
        <is>
          <t>D</t>
        </is>
      </c>
      <c r="H20" s="4" t="inlineStr">
        <is>
          <t>PX_LAST</t>
        </is>
      </c>
      <c r="I20" s="4" t="inlineStr">
        <is>
          <t>2018-01-01</t>
        </is>
      </c>
      <c r="J20" s="4" t="inlineStr">
        <is>
          <t>확정(2026-09-10 검증)</t>
        </is>
      </c>
      <c r="K20" s="5" t="inlineStr"/>
      <c r="L20" s="4">
        <f>BDP($A20,"NAME")</f>
        <v/>
      </c>
      <c r="M20" s="4">
        <f>BDP($A20,"PX_LAST")</f>
        <v/>
      </c>
      <c r="N20" s="4">
        <f>BDP($A20,"LAST_UPDATE_DT")</f>
        <v/>
      </c>
    </row>
    <row r="21">
      <c r="A21" s="4" t="inlineStr">
        <is>
          <t>TRSBCCCD Index</t>
        </is>
      </c>
      <c r="B21" s="4" t="inlineStr">
        <is>
          <t>SUEZ_ALL_24H</t>
        </is>
      </c>
      <c r="C21" s="4" t="inlineStr">
        <is>
          <t>수에즈 양방향 상업선 (24H)</t>
        </is>
      </c>
      <c r="D21" s="4" t="inlineStr">
        <is>
          <t>공급제약</t>
        </is>
      </c>
      <c r="E21" s="4" t="inlineStr">
        <is>
          <t>초크포인트 통항</t>
        </is>
      </c>
      <c r="F21" s="4" t="inlineStr">
        <is>
          <t>척</t>
        </is>
      </c>
      <c r="G21" s="4" t="inlineStr">
        <is>
          <t>D</t>
        </is>
      </c>
      <c r="H21" s="4" t="inlineStr">
        <is>
          <t>PX_LAST</t>
        </is>
      </c>
      <c r="I21" s="4" t="inlineStr">
        <is>
          <t>2018-01-01</t>
        </is>
      </c>
      <c r="J21" s="4" t="inlineStr">
        <is>
          <t>확정(2026-09-10 검증)</t>
        </is>
      </c>
      <c r="K21" s="5" t="inlineStr">
        <is>
          <t>1Y MA 37 vs 7D 46</t>
        </is>
      </c>
      <c r="L21" s="4">
        <f>BDP($A21,"NAME")</f>
        <v/>
      </c>
      <c r="M21" s="4">
        <f>BDP($A21,"PX_LAST")</f>
        <v/>
      </c>
      <c r="N21" s="4">
        <f>BDP($A21,"LAST_UPDATE_DT")</f>
        <v/>
      </c>
    </row>
    <row r="22">
      <c r="A22" s="4" t="inlineStr">
        <is>
          <t>TRSSTKMD Index</t>
        </is>
      </c>
      <c r="B22" s="4" t="inlineStr">
        <is>
          <t>SUEZ_DWELL_SN</t>
        </is>
      </c>
      <c r="C22" s="4" t="inlineStr">
        <is>
          <t>수에즈 남→북 체류일수</t>
        </is>
      </c>
      <c r="D22" s="4" t="inlineStr">
        <is>
          <t>공급제약</t>
        </is>
      </c>
      <c r="E22" s="4" t="inlineStr">
        <is>
          <t>초크포인트 통항</t>
        </is>
      </c>
      <c r="F22" s="4" t="inlineStr">
        <is>
          <t>day</t>
        </is>
      </c>
      <c r="G22" s="4" t="inlineStr">
        <is>
          <t>D</t>
        </is>
      </c>
      <c r="H22" s="4" t="inlineStr">
        <is>
          <t>PX_LAST</t>
        </is>
      </c>
      <c r="I22" s="4" t="inlineStr">
        <is>
          <t>2018-01-01</t>
        </is>
      </c>
      <c r="J22" s="4" t="inlineStr">
        <is>
          <t>확정(2026-09-10 검증)</t>
        </is>
      </c>
      <c r="K22" s="5" t="inlineStr">
        <is>
          <t>대기시간 지표</t>
        </is>
      </c>
      <c r="L22" s="4">
        <f>BDP($A22,"NAME")</f>
        <v/>
      </c>
      <c r="M22" s="4">
        <f>BDP($A22,"PX_LAST")</f>
        <v/>
      </c>
      <c r="N22" s="4">
        <f>BDP($A22,"LAST_UPDATE_DT")</f>
        <v/>
      </c>
    </row>
    <row r="23">
      <c r="A23" s="4" t="inlineStr">
        <is>
          <t>TRSNTKMD Index</t>
        </is>
      </c>
      <c r="B23" s="4" t="inlineStr">
        <is>
          <t>SUEZ_DWELL_NS</t>
        </is>
      </c>
      <c r="C23" s="4" t="inlineStr">
        <is>
          <t>수에즈 북→남 체류일수</t>
        </is>
      </c>
      <c r="D23" s="4" t="inlineStr">
        <is>
          <t>공급제약</t>
        </is>
      </c>
      <c r="E23" s="4" t="inlineStr">
        <is>
          <t>초크포인트 통항</t>
        </is>
      </c>
      <c r="F23" s="4" t="inlineStr">
        <is>
          <t>day</t>
        </is>
      </c>
      <c r="G23" s="4" t="inlineStr">
        <is>
          <t>D</t>
        </is>
      </c>
      <c r="H23" s="4" t="inlineStr">
        <is>
          <t>PX_LAST</t>
        </is>
      </c>
      <c r="I23" s="4" t="inlineStr">
        <is>
          <t>2018-01-01</t>
        </is>
      </c>
      <c r="J23" s="4" t="inlineStr">
        <is>
          <t>확정(2026-09-10 검증)</t>
        </is>
      </c>
      <c r="K23" s="5" t="inlineStr"/>
      <c r="L23" s="4">
        <f>BDP($A23,"NAME")</f>
        <v/>
      </c>
      <c r="M23" s="4">
        <f>BDP($A23,"PX_LAST")</f>
        <v/>
      </c>
      <c r="N23" s="4">
        <f>BDP($A23,"LAST_UPDATE_DT")</f>
        <v/>
      </c>
    </row>
    <row r="24">
      <c r="A24" s="4" t="inlineStr">
        <is>
          <t>TRCECTCT Index</t>
        </is>
      </c>
      <c r="B24" s="4" t="inlineStr">
        <is>
          <t>CAPE_HOPE</t>
        </is>
      </c>
      <c r="C24" s="4" t="inlineStr">
        <is>
          <t>희망봉 동→서 컨테이너선 (7D, 아시아→유럽 우회)</t>
        </is>
      </c>
      <c r="D24" s="4" t="inlineStr">
        <is>
          <t>공급제약</t>
        </is>
      </c>
      <c r="E24" s="4" t="inlineStr">
        <is>
          <t>초크포인트 통항</t>
        </is>
      </c>
      <c r="F24" s="4" t="inlineStr">
        <is>
          <t>척</t>
        </is>
      </c>
      <c r="G24" s="4" t="inlineStr">
        <is>
          <t>D</t>
        </is>
      </c>
      <c r="H24" s="4" t="inlineStr">
        <is>
          <t>PX_LAST</t>
        </is>
      </c>
      <c r="I24" s="4" t="inlineStr">
        <is>
          <t>2018-01-01</t>
        </is>
      </c>
      <c r="J24" s="4" t="inlineStr">
        <is>
          <t>확정(2026-09-10 검증)</t>
        </is>
      </c>
      <c r="K24" s="5" t="inlineStr">
        <is>
          <t>57 (9/9). SUEZ와 합산 = 아시아→유럽 총량, 비율 = 우회율</t>
        </is>
      </c>
      <c r="L24" s="4">
        <f>BDP($A24,"NAME")</f>
        <v/>
      </c>
      <c r="M24" s="4">
        <f>BDP($A24,"PX_LAST")</f>
        <v/>
      </c>
      <c r="N24" s="4">
        <f>BDP($A24,"LAST_UPDATE_DT")</f>
        <v/>
      </c>
    </row>
    <row r="25">
      <c r="A25" s="4" t="inlineStr">
        <is>
          <t>TRCWCTCT Index</t>
        </is>
      </c>
      <c r="B25" s="4" t="inlineStr">
        <is>
          <t>CAPE_WE_CT</t>
        </is>
      </c>
      <c r="C25" s="4" t="inlineStr">
        <is>
          <t>희망봉 서→동 컨테이너선 (7D)</t>
        </is>
      </c>
      <c r="D25" s="4" t="inlineStr">
        <is>
          <t>공급제약</t>
        </is>
      </c>
      <c r="E25" s="4" t="inlineStr">
        <is>
          <t>초크포인트 통항</t>
        </is>
      </c>
      <c r="F25" s="4" t="inlineStr">
        <is>
          <t>척</t>
        </is>
      </c>
      <c r="G25" s="4" t="inlineStr">
        <is>
          <t>D</t>
        </is>
      </c>
      <c r="H25" s="4" t="inlineStr">
        <is>
          <t>PX_LAST</t>
        </is>
      </c>
      <c r="I25" s="4" t="inlineStr">
        <is>
          <t>2018-01-01</t>
        </is>
      </c>
      <c r="J25" s="4" t="inlineStr">
        <is>
          <t>확정(2026-09-10 검증)</t>
        </is>
      </c>
      <c r="K25" s="5" t="inlineStr"/>
      <c r="L25" s="4">
        <f>BDP($A25,"NAME")</f>
        <v/>
      </c>
      <c r="M25" s="4">
        <f>BDP($A25,"PX_LAST")</f>
        <v/>
      </c>
      <c r="N25" s="4">
        <f>BDP($A25,"LAST_UPDATE_DT")</f>
        <v/>
      </c>
    </row>
    <row r="26">
      <c r="A26" s="4" t="inlineStr">
        <is>
          <t>TRCEBKCT Index</t>
        </is>
      </c>
      <c r="B26" s="4" t="inlineStr">
        <is>
          <t>CAPE_EW_BK</t>
        </is>
      </c>
      <c r="C26" s="4" t="inlineStr">
        <is>
          <t>희망봉 동→서 벌커 (7D)</t>
        </is>
      </c>
      <c r="D26" s="4" t="inlineStr">
        <is>
          <t>공급제약</t>
        </is>
      </c>
      <c r="E26" s="4" t="inlineStr">
        <is>
          <t>초크포인트 통항</t>
        </is>
      </c>
      <c r="F26" s="4" t="inlineStr">
        <is>
          <t>척</t>
        </is>
      </c>
      <c r="G26" s="4" t="inlineStr">
        <is>
          <t>D</t>
        </is>
      </c>
      <c r="H26" s="4" t="inlineStr">
        <is>
          <t>PX_LAST</t>
        </is>
      </c>
      <c r="I26" s="4" t="inlineStr">
        <is>
          <t>2018-01-01</t>
        </is>
      </c>
      <c r="J26" s="4" t="inlineStr">
        <is>
          <t>확정(2026-09-10 검증)</t>
        </is>
      </c>
      <c r="K26" s="5" t="inlineStr"/>
      <c r="L26" s="4">
        <f>BDP($A26,"NAME")</f>
        <v/>
      </c>
      <c r="M26" s="4">
        <f>BDP($A26,"PX_LAST")</f>
        <v/>
      </c>
      <c r="N26" s="4">
        <f>BDP($A26,"LAST_UPDATE_DT")</f>
        <v/>
      </c>
    </row>
    <row r="27">
      <c r="A27" s="4" t="inlineStr">
        <is>
          <t>TRCETKCT Index</t>
        </is>
      </c>
      <c r="B27" s="4" t="inlineStr">
        <is>
          <t>CAPE_EW_TK</t>
        </is>
      </c>
      <c r="C27" s="4" t="inlineStr">
        <is>
          <t>희망봉 동→서 탱커 (7D)</t>
        </is>
      </c>
      <c r="D27" s="4" t="inlineStr">
        <is>
          <t>공급제약</t>
        </is>
      </c>
      <c r="E27" s="4" t="inlineStr">
        <is>
          <t>초크포인트 통항</t>
        </is>
      </c>
      <c r="F27" s="4" t="inlineStr">
        <is>
          <t>척</t>
        </is>
      </c>
      <c r="G27" s="4" t="inlineStr">
        <is>
          <t>D</t>
        </is>
      </c>
      <c r="H27" s="4" t="inlineStr">
        <is>
          <t>PX_LAST</t>
        </is>
      </c>
      <c r="I27" s="4" t="inlineStr">
        <is>
          <t>2018-01-01</t>
        </is>
      </c>
      <c r="J27" s="4" t="inlineStr">
        <is>
          <t>확정(2026-09-10 검증)</t>
        </is>
      </c>
      <c r="K27" s="5" t="inlineStr"/>
      <c r="L27" s="4">
        <f>BDP($A27,"NAME")</f>
        <v/>
      </c>
      <c r="M27" s="4">
        <f>BDP($A27,"PX_LAST")</f>
        <v/>
      </c>
      <c r="N27" s="4">
        <f>BDP($A27,"LAST_UPDATE_DT")</f>
        <v/>
      </c>
    </row>
    <row r="28">
      <c r="A28" s="4" t="inlineStr">
        <is>
          <t>TRHWTKCT Index</t>
        </is>
      </c>
      <c r="B28" s="4" t="inlineStr">
        <is>
          <t>HORMUZ</t>
        </is>
      </c>
      <c r="C28" s="4" t="inlineStr">
        <is>
          <t>호르무즈 서→동 탱커 (7D, 걸프 출항)</t>
        </is>
      </c>
      <c r="D28" s="4" t="inlineStr">
        <is>
          <t>공급제약</t>
        </is>
      </c>
      <c r="E28" s="4" t="inlineStr">
        <is>
          <t>초크포인트 통항</t>
        </is>
      </c>
      <c r="F28" s="4" t="inlineStr">
        <is>
          <t>척</t>
        </is>
      </c>
      <c r="G28" s="4" t="inlineStr">
        <is>
          <t>D</t>
        </is>
      </c>
      <c r="H28" s="4" t="inlineStr">
        <is>
          <t>PX_LAST</t>
        </is>
      </c>
      <c r="I28" s="4" t="inlineStr">
        <is>
          <t>2018-01-01</t>
        </is>
      </c>
      <c r="J28" s="4" t="inlineStr">
        <is>
          <t>확정(2026-09-10 검증)</t>
        </is>
      </c>
      <c r="K28" s="5" t="inlineStr">
        <is>
          <t>9 vs 1Y MA 113 — 현재 극단적 감소. 대시보드 HORMUZ 활성화</t>
        </is>
      </c>
      <c r="L28" s="4">
        <f>BDP($A28,"NAME")</f>
        <v/>
      </c>
      <c r="M28" s="4">
        <f>BDP($A28,"PX_LAST")</f>
        <v/>
      </c>
      <c r="N28" s="4">
        <f>BDP($A28,"LAST_UPDATE_DT")</f>
        <v/>
      </c>
    </row>
    <row r="29">
      <c r="A29" s="4" t="inlineStr">
        <is>
          <t>TRHETKCT Index</t>
        </is>
      </c>
      <c r="B29" s="4" t="inlineStr">
        <is>
          <t>HORMUZ_EW_TK</t>
        </is>
      </c>
      <c r="C29" s="4" t="inlineStr">
        <is>
          <t>호르무즈 동→서 탱커 (7D, 걸프 입항)</t>
        </is>
      </c>
      <c r="D29" s="4" t="inlineStr">
        <is>
          <t>공급제약</t>
        </is>
      </c>
      <c r="E29" s="4" t="inlineStr">
        <is>
          <t>초크포인트 통항</t>
        </is>
      </c>
      <c r="F29" s="4" t="inlineStr">
        <is>
          <t>척</t>
        </is>
      </c>
      <c r="G29" s="4" t="inlineStr">
        <is>
          <t>D</t>
        </is>
      </c>
      <c r="H29" s="4" t="inlineStr">
        <is>
          <t>PX_LAST</t>
        </is>
      </c>
      <c r="I29" s="4" t="inlineStr">
        <is>
          <t>2018-01-01</t>
        </is>
      </c>
      <c r="J29" s="4" t="inlineStr">
        <is>
          <t>확정(2026-09-10 검증)</t>
        </is>
      </c>
      <c r="K29" s="5" t="inlineStr"/>
      <c r="L29" s="4">
        <f>BDP($A29,"NAME")</f>
        <v/>
      </c>
      <c r="M29" s="4">
        <f>BDP($A29,"PX_LAST")</f>
        <v/>
      </c>
      <c r="N29" s="4">
        <f>BDP($A29,"LAST_UPDATE_DT")</f>
        <v/>
      </c>
    </row>
    <row r="30">
      <c r="A30" s="4" t="inlineStr">
        <is>
          <t>TRHWCTCT Index</t>
        </is>
      </c>
      <c r="B30" s="4" t="inlineStr">
        <is>
          <t>HORMUZ_WE_CT</t>
        </is>
      </c>
      <c r="C30" s="4" t="inlineStr">
        <is>
          <t>호르무즈 서→동 컨테이너선 (7D)</t>
        </is>
      </c>
      <c r="D30" s="4" t="inlineStr">
        <is>
          <t>공급제약</t>
        </is>
      </c>
      <c r="E30" s="4" t="inlineStr">
        <is>
          <t>초크포인트 통항</t>
        </is>
      </c>
      <c r="F30" s="4" t="inlineStr">
        <is>
          <t>척</t>
        </is>
      </c>
      <c r="G30" s="4" t="inlineStr">
        <is>
          <t>D</t>
        </is>
      </c>
      <c r="H30" s="4" t="inlineStr">
        <is>
          <t>PX_LAST</t>
        </is>
      </c>
      <c r="I30" s="4" t="inlineStr">
        <is>
          <t>2018-01-01</t>
        </is>
      </c>
      <c r="J30" s="4" t="inlineStr">
        <is>
          <t>확정(2026-09-10 검증)</t>
        </is>
      </c>
      <c r="K30" s="5" t="inlineStr">
        <is>
          <t>2 vs 1Y MA 36</t>
        </is>
      </c>
      <c r="L30" s="4">
        <f>BDP($A30,"NAME")</f>
        <v/>
      </c>
      <c r="M30" s="4">
        <f>BDP($A30,"PX_LAST")</f>
        <v/>
      </c>
      <c r="N30" s="4">
        <f>BDP($A30,"LAST_UPDATE_DT")</f>
        <v/>
      </c>
    </row>
    <row r="31">
      <c r="A31" s="4" t="inlineStr">
        <is>
          <t>TRHWBKCT Index</t>
        </is>
      </c>
      <c r="B31" s="4" t="inlineStr">
        <is>
          <t>HORMUZ_WE_BK</t>
        </is>
      </c>
      <c r="C31" s="4" t="inlineStr">
        <is>
          <t>호르무즈 서→동 벌커 (7D)</t>
        </is>
      </c>
      <c r="D31" s="4" t="inlineStr">
        <is>
          <t>공급제약</t>
        </is>
      </c>
      <c r="E31" s="4" t="inlineStr">
        <is>
          <t>초크포인트 통항</t>
        </is>
      </c>
      <c r="F31" s="4" t="inlineStr">
        <is>
          <t>척</t>
        </is>
      </c>
      <c r="G31" s="4" t="inlineStr">
        <is>
          <t>D</t>
        </is>
      </c>
      <c r="H31" s="4" t="inlineStr">
        <is>
          <t>PX_LAST</t>
        </is>
      </c>
      <c r="I31" s="4" t="inlineStr">
        <is>
          <t>2018-01-01</t>
        </is>
      </c>
      <c r="J31" s="4" t="inlineStr">
        <is>
          <t>확정(2026-09-10 검증)</t>
        </is>
      </c>
      <c r="K31" s="5" t="inlineStr"/>
      <c r="L31" s="4">
        <f>BDP($A31,"NAME")</f>
        <v/>
      </c>
      <c r="M31" s="4">
        <f>BDP($A31,"PX_LAST")</f>
        <v/>
      </c>
      <c r="N31" s="4">
        <f>BDP($A31,"LAST_UPDATE_DT")</f>
        <v/>
      </c>
    </row>
    <row r="32">
      <c r="A32" s="4" t="inlineStr">
        <is>
          <t>TRHBCCCD Index</t>
        </is>
      </c>
      <c r="B32" s="4" t="inlineStr">
        <is>
          <t>HORMUZ_ALL_24H</t>
        </is>
      </c>
      <c r="C32" s="4" t="inlineStr">
        <is>
          <t>호르무즈 양방향 상업선 (24H)</t>
        </is>
      </c>
      <c r="D32" s="4" t="inlineStr">
        <is>
          <t>공급제약</t>
        </is>
      </c>
      <c r="E32" s="4" t="inlineStr">
        <is>
          <t>초크포인트 통항</t>
        </is>
      </c>
      <c r="F32" s="4" t="inlineStr">
        <is>
          <t>척</t>
        </is>
      </c>
      <c r="G32" s="4" t="inlineStr">
        <is>
          <t>D</t>
        </is>
      </c>
      <c r="H32" s="4" t="inlineStr">
        <is>
          <t>PX_LAST</t>
        </is>
      </c>
      <c r="I32" s="4" t="inlineStr">
        <is>
          <t>2018-01-01</t>
        </is>
      </c>
      <c r="J32" s="4" t="inlineStr">
        <is>
          <t>확정(2026-09-10 검증)</t>
        </is>
      </c>
      <c r="K32" s="5" t="inlineStr">
        <is>
          <t>5 vs 1Y MA 56</t>
        </is>
      </c>
      <c r="L32" s="4">
        <f>BDP($A32,"NAME")</f>
        <v/>
      </c>
      <c r="M32" s="4">
        <f>BDP($A32,"PX_LAST")</f>
        <v/>
      </c>
      <c r="N32" s="4">
        <f>BDP($A32,"LAST_UPDATE_DT")</f>
        <v/>
      </c>
    </row>
    <row r="33">
      <c r="A33" s="4" t="inlineStr">
        <is>
          <t>TRBBCCCD Index</t>
        </is>
      </c>
      <c r="B33" s="4" t="inlineStr">
        <is>
          <t>BAB_ALL_24H</t>
        </is>
      </c>
      <c r="C33" s="4" t="inlineStr">
        <is>
          <t>바브엘만데브 양방향 상업선 (24H)</t>
        </is>
      </c>
      <c r="D33" s="4" t="inlineStr">
        <is>
          <t>공급제약</t>
        </is>
      </c>
      <c r="E33" s="4" t="inlineStr">
        <is>
          <t>초크포인트 통항</t>
        </is>
      </c>
      <c r="F33" s="4" t="inlineStr">
        <is>
          <t>척</t>
        </is>
      </c>
      <c r="G33" s="4" t="inlineStr">
        <is>
          <t>D</t>
        </is>
      </c>
      <c r="H33" s="4" t="inlineStr">
        <is>
          <t>PX_LAST</t>
        </is>
      </c>
      <c r="I33" s="4" t="inlineStr">
        <is>
          <t>2018-01-01</t>
        </is>
      </c>
      <c r="J33" s="4" t="inlineStr">
        <is>
          <t>확정(2026-09-10 검증)</t>
        </is>
      </c>
      <c r="K33" s="5" t="inlineStr">
        <is>
          <t>홍해 입구</t>
        </is>
      </c>
      <c r="L33" s="4">
        <f>BDP($A33,"NAME")</f>
        <v/>
      </c>
      <c r="M33" s="4">
        <f>BDP($A33,"PX_LAST")</f>
        <v/>
      </c>
      <c r="N33" s="4">
        <f>BDP($A33,"LAST_UPDATE_DT")</f>
        <v/>
      </c>
    </row>
    <row r="34">
      <c r="A34" s="4" t="inlineStr">
        <is>
          <t>TRBSCTCD Index</t>
        </is>
      </c>
      <c r="B34" s="4" t="inlineStr">
        <is>
          <t>BAB_SN_CT_24H</t>
        </is>
      </c>
      <c r="C34" s="4" t="inlineStr">
        <is>
          <t>바브엘만데브 남→북 컨테이너선 (24H)</t>
        </is>
      </c>
      <c r="D34" s="4" t="inlineStr">
        <is>
          <t>공급제약</t>
        </is>
      </c>
      <c r="E34" s="4" t="inlineStr">
        <is>
          <t>초크포인트 통항</t>
        </is>
      </c>
      <c r="F34" s="4" t="inlineStr">
        <is>
          <t>척</t>
        </is>
      </c>
      <c r="G34" s="4" t="inlineStr">
        <is>
          <t>D</t>
        </is>
      </c>
      <c r="H34" s="4" t="inlineStr">
        <is>
          <t>PX_LAST</t>
        </is>
      </c>
      <c r="I34" s="4" t="inlineStr">
        <is>
          <t>2018-01-01</t>
        </is>
      </c>
      <c r="J34" s="4" t="inlineStr">
        <is>
          <t>확정(2026-09-10 검증)</t>
        </is>
      </c>
      <c r="K34" s="5" t="inlineStr"/>
      <c r="L34" s="4">
        <f>BDP($A34,"NAME")</f>
        <v/>
      </c>
      <c r="M34" s="4">
        <f>BDP($A34,"PX_LAST")</f>
        <v/>
      </c>
      <c r="N34" s="4">
        <f>BDP($A34,"LAST_UPDATE_DT")</f>
        <v/>
      </c>
    </row>
    <row r="35">
      <c r="A35" s="4" t="inlineStr">
        <is>
          <t>TRBBCOCD Index</t>
        </is>
      </c>
      <c r="B35" s="4" t="inlineStr">
        <is>
          <t>BAB_ALL_CRUDE_24H</t>
        </is>
      </c>
      <c r="C35" s="4" t="inlineStr">
        <is>
          <t>바브엘만데브 양방향 원유탱커 (24H)</t>
        </is>
      </c>
      <c r="D35" s="4" t="inlineStr">
        <is>
          <t>공급제약</t>
        </is>
      </c>
      <c r="E35" s="4" t="inlineStr">
        <is>
          <t>초크포인트 통항</t>
        </is>
      </c>
      <c r="F35" s="4" t="inlineStr">
        <is>
          <t>척</t>
        </is>
      </c>
      <c r="G35" s="4" t="inlineStr">
        <is>
          <t>D</t>
        </is>
      </c>
      <c r="H35" s="4" t="inlineStr">
        <is>
          <t>PX_LAST</t>
        </is>
      </c>
      <c r="I35" s="4" t="inlineStr">
        <is>
          <t>2018-01-01</t>
        </is>
      </c>
      <c r="J35" s="4" t="inlineStr">
        <is>
          <t>확정(2026-09-10 검증)</t>
        </is>
      </c>
      <c r="K35" s="5" t="inlineStr"/>
      <c r="L35" s="4">
        <f>BDP($A35,"NAME")</f>
        <v/>
      </c>
      <c r="M35" s="4">
        <f>BDP($A35,"PX_LAST")</f>
        <v/>
      </c>
      <c r="N35" s="4">
        <f>BDP($A35,"LAST_UPDATE_DT")</f>
        <v/>
      </c>
    </row>
    <row r="36">
      <c r="A36" s="4" t="inlineStr">
        <is>
          <t>TRPSCTCT Index</t>
        </is>
      </c>
      <c r="B36" s="4" t="inlineStr">
        <is>
          <t>PANAMA</t>
        </is>
      </c>
      <c r="C36" s="4" t="inlineStr">
        <is>
          <t>파나마 남→북 컨테이너선 (7D, 태평양→대서양)</t>
        </is>
      </c>
      <c r="D36" s="4" t="inlineStr">
        <is>
          <t>공급제약</t>
        </is>
      </c>
      <c r="E36" s="4" t="inlineStr">
        <is>
          <t>초크포인트 통항</t>
        </is>
      </c>
      <c r="F36" s="4" t="inlineStr">
        <is>
          <t>척</t>
        </is>
      </c>
      <c r="G36" s="4" t="inlineStr">
        <is>
          <t>D</t>
        </is>
      </c>
      <c r="H36" s="4" t="inlineStr">
        <is>
          <t>PX_LAST</t>
        </is>
      </c>
      <c r="I36" s="4" t="inlineStr">
        <is>
          <t>2018-01-01</t>
        </is>
      </c>
      <c r="J36" s="4" t="inlineStr">
        <is>
          <t>확정(2026-09-10 검증)</t>
        </is>
      </c>
      <c r="K36" s="5" t="inlineStr">
        <is>
          <t>29 (9/9). 대시보드 PANAMA 활성화</t>
        </is>
      </c>
      <c r="L36" s="4">
        <f>BDP($A36,"NAME")</f>
        <v/>
      </c>
      <c r="M36" s="4">
        <f>BDP($A36,"PX_LAST")</f>
        <v/>
      </c>
      <c r="N36" s="4">
        <f>BDP($A36,"LAST_UPDATE_DT")</f>
        <v/>
      </c>
    </row>
    <row r="37">
      <c r="A37" s="4" t="inlineStr">
        <is>
          <t>TRPNCTCT Index</t>
        </is>
      </c>
      <c r="B37" s="4" t="inlineStr">
        <is>
          <t>PANAMA_NS_CT</t>
        </is>
      </c>
      <c r="C37" s="4" t="inlineStr">
        <is>
          <t>파나마 북→남 컨테이너선 (7D)</t>
        </is>
      </c>
      <c r="D37" s="4" t="inlineStr">
        <is>
          <t>공급제약</t>
        </is>
      </c>
      <c r="E37" s="4" t="inlineStr">
        <is>
          <t>초크포인트 통항</t>
        </is>
      </c>
      <c r="F37" s="4" t="inlineStr">
        <is>
          <t>척</t>
        </is>
      </c>
      <c r="G37" s="4" t="inlineStr">
        <is>
          <t>D</t>
        </is>
      </c>
      <c r="H37" s="4" t="inlineStr">
        <is>
          <t>PX_LAST</t>
        </is>
      </c>
      <c r="I37" s="4" t="inlineStr">
        <is>
          <t>2018-01-01</t>
        </is>
      </c>
      <c r="J37" s="4" t="inlineStr">
        <is>
          <t>확정(2026-09-10 검증)</t>
        </is>
      </c>
      <c r="K37" s="5" t="inlineStr"/>
      <c r="L37" s="4">
        <f>BDP($A37,"NAME")</f>
        <v/>
      </c>
      <c r="M37" s="4">
        <f>BDP($A37,"PX_LAST")</f>
        <v/>
      </c>
      <c r="N37" s="4">
        <f>BDP($A37,"LAST_UPDATE_DT")</f>
        <v/>
      </c>
    </row>
    <row r="38">
      <c r="A38" s="4" t="inlineStr">
        <is>
          <t>TRPSBKCT Index</t>
        </is>
      </c>
      <c r="B38" s="4" t="inlineStr">
        <is>
          <t>PANAMA_SN_BK</t>
        </is>
      </c>
      <c r="C38" s="4" t="inlineStr">
        <is>
          <t>파나마 남→북 벌커 (7D)</t>
        </is>
      </c>
      <c r="D38" s="4" t="inlineStr">
        <is>
          <t>공급제약</t>
        </is>
      </c>
      <c r="E38" s="4" t="inlineStr">
        <is>
          <t>초크포인트 통항</t>
        </is>
      </c>
      <c r="F38" s="4" t="inlineStr">
        <is>
          <t>척</t>
        </is>
      </c>
      <c r="G38" s="4" t="inlineStr">
        <is>
          <t>D</t>
        </is>
      </c>
      <c r="H38" s="4" t="inlineStr">
        <is>
          <t>PX_LAST</t>
        </is>
      </c>
      <c r="I38" s="4" t="inlineStr">
        <is>
          <t>2018-01-01</t>
        </is>
      </c>
      <c r="J38" s="4" t="inlineStr">
        <is>
          <t>확정(2026-09-10 검증)</t>
        </is>
      </c>
      <c r="K38" s="5" t="inlineStr">
        <is>
          <t>곡물</t>
        </is>
      </c>
      <c r="L38" s="4">
        <f>BDP($A38,"NAME")</f>
        <v/>
      </c>
      <c r="M38" s="4">
        <f>BDP($A38,"PX_LAST")</f>
        <v/>
      </c>
      <c r="N38" s="4">
        <f>BDP($A38,"LAST_UPDATE_DT")</f>
        <v/>
      </c>
    </row>
    <row r="39">
      <c r="A39" s="4" t="inlineStr">
        <is>
          <t>TRPSTKCT Index</t>
        </is>
      </c>
      <c r="B39" s="4" t="inlineStr">
        <is>
          <t>PANAMA_SN_TK</t>
        </is>
      </c>
      <c r="C39" s="4" t="inlineStr">
        <is>
          <t>파나마 남→북 탱커 (7D)</t>
        </is>
      </c>
      <c r="D39" s="4" t="inlineStr">
        <is>
          <t>공급제약</t>
        </is>
      </c>
      <c r="E39" s="4" t="inlineStr">
        <is>
          <t>초크포인트 통항</t>
        </is>
      </c>
      <c r="F39" s="4" t="inlineStr">
        <is>
          <t>척</t>
        </is>
      </c>
      <c r="G39" s="4" t="inlineStr">
        <is>
          <t>D</t>
        </is>
      </c>
      <c r="H39" s="4" t="inlineStr">
        <is>
          <t>PX_LAST</t>
        </is>
      </c>
      <c r="I39" s="4" t="inlineStr">
        <is>
          <t>2018-01-01</t>
        </is>
      </c>
      <c r="J39" s="4" t="inlineStr">
        <is>
          <t>확정(2026-09-10 검증)</t>
        </is>
      </c>
      <c r="K39" s="5" t="inlineStr">
        <is>
          <t>LNG·LPG 포함</t>
        </is>
      </c>
      <c r="L39" s="4">
        <f>BDP($A39,"NAME")</f>
        <v/>
      </c>
      <c r="M39" s="4">
        <f>BDP($A39,"PX_LAST")</f>
        <v/>
      </c>
      <c r="N39" s="4">
        <f>BDP($A39,"LAST_UPDATE_DT")</f>
        <v/>
      </c>
    </row>
    <row r="40">
      <c r="A40" s="4" t="inlineStr">
        <is>
          <t>TRPBCCCD Index</t>
        </is>
      </c>
      <c r="B40" s="4" t="inlineStr">
        <is>
          <t>PANAMA_ALL_24H</t>
        </is>
      </c>
      <c r="C40" s="4" t="inlineStr">
        <is>
          <t>파나마 양방향 상업선 (24H)</t>
        </is>
      </c>
      <c r="D40" s="4" t="inlineStr">
        <is>
          <t>공급제약</t>
        </is>
      </c>
      <c r="E40" s="4" t="inlineStr">
        <is>
          <t>초크포인트 통항</t>
        </is>
      </c>
      <c r="F40" s="4" t="inlineStr">
        <is>
          <t>척</t>
        </is>
      </c>
      <c r="G40" s="4" t="inlineStr">
        <is>
          <t>D</t>
        </is>
      </c>
      <c r="H40" s="4" t="inlineStr">
        <is>
          <t>PX_LAST</t>
        </is>
      </c>
      <c r="I40" s="4" t="inlineStr">
        <is>
          <t>2018-01-01</t>
        </is>
      </c>
      <c r="J40" s="4" t="inlineStr">
        <is>
          <t>확정(2026-09-10 검증)</t>
        </is>
      </c>
      <c r="K40" s="5" t="inlineStr"/>
      <c r="L40" s="4">
        <f>BDP($A40,"NAME")</f>
        <v/>
      </c>
      <c r="M40" s="4">
        <f>BDP($A40,"PX_LAST")</f>
        <v/>
      </c>
      <c r="N40" s="4">
        <f>BDP($A40,"LAST_UPDATE_DT")</f>
        <v/>
      </c>
    </row>
    <row r="41">
      <c r="A41" s="4" t="inlineStr">
        <is>
          <t>TRPBLPCD Index</t>
        </is>
      </c>
      <c r="B41" s="4" t="inlineStr">
        <is>
          <t>PANAMA_LPG_24H</t>
        </is>
      </c>
      <c r="C41" s="4" t="inlineStr">
        <is>
          <t>파나마 양방향 LPG선 (24H)</t>
        </is>
      </c>
      <c r="D41" s="4" t="inlineStr">
        <is>
          <t>공급제약</t>
        </is>
      </c>
      <c r="E41" s="4" t="inlineStr">
        <is>
          <t>초크포인트 통항</t>
        </is>
      </c>
      <c r="F41" s="4" t="inlineStr">
        <is>
          <t>척</t>
        </is>
      </c>
      <c r="G41" s="4" t="inlineStr">
        <is>
          <t>D</t>
        </is>
      </c>
      <c r="H41" s="4" t="inlineStr">
        <is>
          <t>PX_LAST</t>
        </is>
      </c>
      <c r="I41" s="4" t="inlineStr">
        <is>
          <t>2018-01-01</t>
        </is>
      </c>
      <c r="J41" s="4" t="inlineStr">
        <is>
          <t>확정(2026-09-10 검증)</t>
        </is>
      </c>
      <c r="K41" s="5" t="inlineStr"/>
      <c r="L41" s="4">
        <f>BDP($A41,"NAME")</f>
        <v/>
      </c>
      <c r="M41" s="4">
        <f>BDP($A41,"PX_LAST")</f>
        <v/>
      </c>
      <c r="N41" s="4">
        <f>BDP($A41,"LAST_UPDATE_DT")</f>
        <v/>
      </c>
    </row>
    <row r="42">
      <c r="A42" s="4" t="inlineStr">
        <is>
          <t>CO1 Comdty</t>
        </is>
      </c>
      <c r="B42" s="4" t="inlineStr">
        <is>
          <t>BRENT_BBG</t>
        </is>
      </c>
      <c r="C42" s="4" t="inlineStr">
        <is>
          <t>브렌트 1개월물</t>
        </is>
      </c>
      <c r="D42" s="4" t="inlineStr">
        <is>
          <t>비용</t>
        </is>
      </c>
      <c r="E42" s="4" t="inlineStr">
        <is>
          <t>에너지</t>
        </is>
      </c>
      <c r="F42" s="4" t="inlineStr">
        <is>
          <t>$/bbl</t>
        </is>
      </c>
      <c r="G42" s="4" t="inlineStr">
        <is>
          <t>D</t>
        </is>
      </c>
      <c r="H42" s="4" t="inlineStr">
        <is>
          <t>PX_LAST</t>
        </is>
      </c>
      <c r="I42" s="4" t="inlineStr">
        <is>
          <t>2015-01-01</t>
        </is>
      </c>
      <c r="J42" s="4" t="inlineStr">
        <is>
          <t>확정(2026-09-10 검증)</t>
        </is>
      </c>
      <c r="K42" s="5" t="inlineStr">
        <is>
          <t>107.6 (9/10)</t>
        </is>
      </c>
      <c r="L42" s="4">
        <f>BDP($A42,"NAME")</f>
        <v/>
      </c>
      <c r="M42" s="4">
        <f>BDP($A42,"PX_LAST")</f>
        <v/>
      </c>
      <c r="N42" s="4">
        <f>BDP($A42,"LAST_UPDATE_DT")</f>
        <v/>
      </c>
    </row>
    <row r="43">
      <c r="A43" s="4" t="inlineStr">
        <is>
          <t>CL1 Comdty</t>
        </is>
      </c>
      <c r="B43" s="4" t="inlineStr">
        <is>
          <t>WTI_BBG</t>
        </is>
      </c>
      <c r="C43" s="4" t="inlineStr">
        <is>
          <t>WTI 1개월물</t>
        </is>
      </c>
      <c r="D43" s="4" t="inlineStr">
        <is>
          <t>비용</t>
        </is>
      </c>
      <c r="E43" s="4" t="inlineStr">
        <is>
          <t>에너지</t>
        </is>
      </c>
      <c r="F43" s="4" t="inlineStr">
        <is>
          <t>$/bbl</t>
        </is>
      </c>
      <c r="G43" s="4" t="inlineStr">
        <is>
          <t>D</t>
        </is>
      </c>
      <c r="H43" s="4" t="inlineStr">
        <is>
          <t>PX_LAST</t>
        </is>
      </c>
      <c r="I43" s="4" t="inlineStr">
        <is>
          <t>2015-01-01</t>
        </is>
      </c>
      <c r="J43" s="4" t="inlineStr">
        <is>
          <t>확정(2026-09-10 검증)</t>
        </is>
      </c>
      <c r="K43" s="5" t="inlineStr"/>
      <c r="L43" s="4">
        <f>BDP($A43,"NAME")</f>
        <v/>
      </c>
      <c r="M43" s="4">
        <f>BDP($A43,"PX_LAST")</f>
        <v/>
      </c>
      <c r="N43" s="4">
        <f>BDP($A43,"LAST_UPDATE_DT")</f>
        <v/>
      </c>
    </row>
    <row r="44">
      <c r="A44" s="4" t="inlineStr">
        <is>
          <t>NG1 Comdty</t>
        </is>
      </c>
      <c r="B44" s="4" t="inlineStr">
        <is>
          <t>NATGAS</t>
        </is>
      </c>
      <c r="C44" s="4" t="inlineStr">
        <is>
          <t>헨리허브 천연가스</t>
        </is>
      </c>
      <c r="D44" s="4" t="inlineStr">
        <is>
          <t>비용</t>
        </is>
      </c>
      <c r="E44" s="4" t="inlineStr">
        <is>
          <t>에너지</t>
        </is>
      </c>
      <c r="F44" s="4" t="inlineStr">
        <is>
          <t>$/mmbtu</t>
        </is>
      </c>
      <c r="G44" s="4" t="inlineStr">
        <is>
          <t>D</t>
        </is>
      </c>
      <c r="H44" s="4" t="inlineStr">
        <is>
          <t>PX_LAST</t>
        </is>
      </c>
      <c r="I44" s="4" t="inlineStr">
        <is>
          <t>2015-01-01</t>
        </is>
      </c>
      <c r="J44" s="4" t="inlineStr">
        <is>
          <t>확정(2026-09-10 검증)</t>
        </is>
      </c>
      <c r="K44" s="5" t="inlineStr"/>
      <c r="L44" s="4">
        <f>BDP($A44,"NAME")</f>
        <v/>
      </c>
      <c r="M44" s="4">
        <f>BDP($A44,"PX_LAST")</f>
        <v/>
      </c>
      <c r="N44" s="4">
        <f>BDP($A44,"LAST_UPDATE_DT")</f>
        <v/>
      </c>
    </row>
    <row r="45">
      <c r="A45" s="4" t="inlineStr">
        <is>
          <t>SCO1 Comdty</t>
        </is>
      </c>
      <c r="B45" s="4" t="inlineStr">
        <is>
          <t>IRONORE</t>
        </is>
      </c>
      <c r="C45" s="4" t="inlineStr">
        <is>
          <t>철광석 SGX 62%</t>
        </is>
      </c>
      <c r="D45" s="4" t="inlineStr">
        <is>
          <t>수요</t>
        </is>
      </c>
      <c r="E45" s="4" t="inlineStr">
        <is>
          <t>원자재</t>
        </is>
      </c>
      <c r="F45" s="4" t="inlineStr">
        <is>
          <t>$/t</t>
        </is>
      </c>
      <c r="G45" s="4" t="inlineStr">
        <is>
          <t>D</t>
        </is>
      </c>
      <c r="H45" s="4" t="inlineStr">
        <is>
          <t>PX_LAST</t>
        </is>
      </c>
      <c r="I45" s="4" t="inlineStr">
        <is>
          <t>2015-01-01</t>
        </is>
      </c>
      <c r="J45" s="4" t="inlineStr">
        <is>
          <t>확정(2026-09-10 검증)</t>
        </is>
      </c>
      <c r="K45" s="5" t="inlineStr">
        <is>
          <t>98.1 (9/11)</t>
        </is>
      </c>
      <c r="L45" s="4">
        <f>BDP($A45,"NAME")</f>
        <v/>
      </c>
      <c r="M45" s="4">
        <f>BDP($A45,"PX_LAST")</f>
        <v/>
      </c>
      <c r="N45" s="4">
        <f>BDP($A45,"LAST_UPDATE_DT")</f>
        <v/>
      </c>
    </row>
    <row r="46">
      <c r="A46" s="4" t="inlineStr">
        <is>
          <t>XW1 Comdty</t>
        </is>
      </c>
      <c r="B46" s="4" t="inlineStr">
        <is>
          <t>COAL_NEWC</t>
        </is>
      </c>
      <c r="C46" s="4" t="inlineStr">
        <is>
          <t>뉴캐슬 발전탄</t>
        </is>
      </c>
      <c r="D46" s="4" t="inlineStr">
        <is>
          <t>수요</t>
        </is>
      </c>
      <c r="E46" s="4" t="inlineStr">
        <is>
          <t>원자재</t>
        </is>
      </c>
      <c r="F46" s="4" t="inlineStr">
        <is>
          <t>$/t</t>
        </is>
      </c>
      <c r="G46" s="4" t="inlineStr">
        <is>
          <t>D</t>
        </is>
      </c>
      <c r="H46" s="4" t="inlineStr">
        <is>
          <t>PX_LAST</t>
        </is>
      </c>
      <c r="I46" s="4" t="inlineStr">
        <is>
          <t>2015-01-01</t>
        </is>
      </c>
      <c r="J46" s="4" t="inlineStr">
        <is>
          <t>확정(2026-09-10 검증)</t>
        </is>
      </c>
      <c r="K46" s="5" t="inlineStr">
        <is>
          <t>148 (9/10)</t>
        </is>
      </c>
      <c r="L46" s="4">
        <f>BDP($A46,"NAME")</f>
        <v/>
      </c>
      <c r="M46" s="4">
        <f>BDP($A46,"PX_LAST")</f>
        <v/>
      </c>
      <c r="N46" s="4">
        <f>BDP($A46,"LAST_UPDATE_DT")</f>
        <v/>
      </c>
    </row>
    <row r="47">
      <c r="A47" s="4" t="inlineStr">
        <is>
          <t>C 1 Comdty</t>
        </is>
      </c>
      <c r="B47" s="4" t="inlineStr">
        <is>
          <t>CORN</t>
        </is>
      </c>
      <c r="C47" s="4" t="inlineStr">
        <is>
          <t>CBOT 옥수수</t>
        </is>
      </c>
      <c r="D47" s="4" t="inlineStr">
        <is>
          <t>수요</t>
        </is>
      </c>
      <c r="E47" s="4" t="inlineStr">
        <is>
          <t>원자재</t>
        </is>
      </c>
      <c r="F47" s="4" t="inlineStr">
        <is>
          <t>c/bu</t>
        </is>
      </c>
      <c r="G47" s="4" t="inlineStr">
        <is>
          <t>D</t>
        </is>
      </c>
      <c r="H47" s="4" t="inlineStr">
        <is>
          <t>PX_LAST</t>
        </is>
      </c>
      <c r="I47" s="4" t="inlineStr">
        <is>
          <t>2015-01-01</t>
        </is>
      </c>
      <c r="J47" s="4" t="inlineStr">
        <is>
          <t>확정(2026-09-10 검증)</t>
        </is>
      </c>
      <c r="K47" s="5" t="inlineStr"/>
      <c r="L47" s="4">
        <f>BDP($A47,"NAME")</f>
        <v/>
      </c>
      <c r="M47" s="4">
        <f>BDP($A47,"PX_LAST")</f>
        <v/>
      </c>
      <c r="N47" s="4">
        <f>BDP($A47,"LAST_UPDATE_DT")</f>
        <v/>
      </c>
    </row>
    <row r="48">
      <c r="A48" s="4" t="inlineStr">
        <is>
          <t>S 1 Comdty</t>
        </is>
      </c>
      <c r="B48" s="4" t="inlineStr">
        <is>
          <t>SOYBEAN</t>
        </is>
      </c>
      <c r="C48" s="4" t="inlineStr">
        <is>
          <t>CBOT 대두</t>
        </is>
      </c>
      <c r="D48" s="4" t="inlineStr">
        <is>
          <t>수요</t>
        </is>
      </c>
      <c r="E48" s="4" t="inlineStr">
        <is>
          <t>원자재</t>
        </is>
      </c>
      <c r="F48" s="4" t="inlineStr">
        <is>
          <t>c/bu</t>
        </is>
      </c>
      <c r="G48" s="4" t="inlineStr">
        <is>
          <t>D</t>
        </is>
      </c>
      <c r="H48" s="4" t="inlineStr">
        <is>
          <t>PX_LAST</t>
        </is>
      </c>
      <c r="I48" s="4" t="inlineStr">
        <is>
          <t>2015-01-01</t>
        </is>
      </c>
      <c r="J48" s="4" t="inlineStr">
        <is>
          <t>확정(2026-09-10 검증)</t>
        </is>
      </c>
      <c r="K48" s="5" t="inlineStr"/>
      <c r="L48" s="4">
        <f>BDP($A48,"NAME")</f>
        <v/>
      </c>
      <c r="M48" s="4">
        <f>BDP($A48,"PX_LAST")</f>
        <v/>
      </c>
      <c r="N48" s="4">
        <f>BDP($A48,"LAST_UPDATE_DT")</f>
        <v/>
      </c>
    </row>
    <row r="49">
      <c r="A49" s="4" t="inlineStr">
        <is>
          <t>W 1 Comdty</t>
        </is>
      </c>
      <c r="B49" s="4" t="inlineStr">
        <is>
          <t>WHEAT</t>
        </is>
      </c>
      <c r="C49" s="4" t="inlineStr">
        <is>
          <t>CBOT 밀</t>
        </is>
      </c>
      <c r="D49" s="4" t="inlineStr">
        <is>
          <t>수요</t>
        </is>
      </c>
      <c r="E49" s="4" t="inlineStr">
        <is>
          <t>원자재</t>
        </is>
      </c>
      <c r="F49" s="4" t="inlineStr">
        <is>
          <t>c/bu</t>
        </is>
      </c>
      <c r="G49" s="4" t="inlineStr">
        <is>
          <t>D</t>
        </is>
      </c>
      <c r="H49" s="4" t="inlineStr">
        <is>
          <t>PX_LAST</t>
        </is>
      </c>
      <c r="I49" s="4" t="inlineStr">
        <is>
          <t>2015-01-01</t>
        </is>
      </c>
      <c r="J49" s="4" t="inlineStr">
        <is>
          <t>확정(2026-09-10 검증)</t>
        </is>
      </c>
      <c r="K49" s="5" t="inlineStr"/>
      <c r="L49" s="4">
        <f>BDP($A49,"NAME")</f>
        <v/>
      </c>
      <c r="M49" s="4">
        <f>BDP($A49,"PX_LAST")</f>
        <v/>
      </c>
      <c r="N49" s="4">
        <f>BDP($A49,"LAST_UPDATE_DT")</f>
        <v/>
      </c>
    </row>
    <row r="50">
      <c r="A50" s="4" t="inlineStr">
        <is>
          <t>SB1 Comdty</t>
        </is>
      </c>
      <c r="B50" s="4" t="inlineStr">
        <is>
          <t>SUGAR</t>
        </is>
      </c>
      <c r="C50" s="4" t="inlineStr">
        <is>
          <t>ICE 설탕 11호</t>
        </is>
      </c>
      <c r="D50" s="4" t="inlineStr">
        <is>
          <t>기후</t>
        </is>
      </c>
      <c r="E50" s="4" t="inlineStr">
        <is>
          <t>원자재</t>
        </is>
      </c>
      <c r="F50" s="4" t="inlineStr">
        <is>
          <t>c/lb</t>
        </is>
      </c>
      <c r="G50" s="4" t="inlineStr">
        <is>
          <t>D</t>
        </is>
      </c>
      <c r="H50" s="4" t="inlineStr">
        <is>
          <t>PX_LAST</t>
        </is>
      </c>
      <c r="I50" s="4" t="inlineStr">
        <is>
          <t>2015-01-01</t>
        </is>
      </c>
      <c r="J50" s="4" t="inlineStr">
        <is>
          <t>확정(2026-09-10 검증)</t>
        </is>
      </c>
      <c r="K50" s="5" t="inlineStr">
        <is>
          <t>엘니뇨 흉작 신호</t>
        </is>
      </c>
      <c r="L50" s="4">
        <f>BDP($A50,"NAME")</f>
        <v/>
      </c>
      <c r="M50" s="4">
        <f>BDP($A50,"PX_LAST")</f>
        <v/>
      </c>
      <c r="N50" s="4">
        <f>BDP($A50,"LAST_UPDATE_DT")</f>
        <v/>
      </c>
    </row>
    <row r="51">
      <c r="A51" s="4" t="inlineStr">
        <is>
          <t>KO1 Comdty</t>
        </is>
      </c>
      <c r="B51" s="4" t="inlineStr">
        <is>
          <t>PALMOIL</t>
        </is>
      </c>
      <c r="C51" s="4" t="inlineStr">
        <is>
          <t>말레이시아 팜유</t>
        </is>
      </c>
      <c r="D51" s="4" t="inlineStr">
        <is>
          <t>기후</t>
        </is>
      </c>
      <c r="E51" s="4" t="inlineStr">
        <is>
          <t>원자재</t>
        </is>
      </c>
      <c r="F51" s="4" t="inlineStr">
        <is>
          <t>MYR/t</t>
        </is>
      </c>
      <c r="G51" s="4" t="inlineStr">
        <is>
          <t>D</t>
        </is>
      </c>
      <c r="H51" s="4" t="inlineStr">
        <is>
          <t>PX_LAST</t>
        </is>
      </c>
      <c r="I51" s="4" t="inlineStr">
        <is>
          <t>2015-01-01</t>
        </is>
      </c>
      <c r="J51" s="4" t="inlineStr">
        <is>
          <t>확정(2026-09-10 검증)</t>
        </is>
      </c>
      <c r="K51" s="5" t="inlineStr"/>
      <c r="L51" s="4">
        <f>BDP($A51,"NAME")</f>
        <v/>
      </c>
      <c r="M51" s="4">
        <f>BDP($A51,"PX_LAST")</f>
        <v/>
      </c>
      <c r="N51" s="4">
        <f>BDP($A51,"LAST_UPDATE_DT")</f>
        <v/>
      </c>
    </row>
    <row r="52">
      <c r="A52" s="4" t="inlineStr">
        <is>
          <t>LMCADY Comdty</t>
        </is>
      </c>
      <c r="B52" s="4" t="inlineStr">
        <is>
          <t>COPPER_BBG</t>
        </is>
      </c>
      <c r="C52" s="4" t="inlineStr">
        <is>
          <t>LME 구리 현물</t>
        </is>
      </c>
      <c r="D52" s="4" t="inlineStr">
        <is>
          <t>수요</t>
        </is>
      </c>
      <c r="E52" s="4" t="inlineStr">
        <is>
          <t>원자재</t>
        </is>
      </c>
      <c r="F52" s="4" t="inlineStr">
        <is>
          <t>$/t</t>
        </is>
      </c>
      <c r="G52" s="4" t="inlineStr">
        <is>
          <t>D</t>
        </is>
      </c>
      <c r="H52" s="4" t="inlineStr">
        <is>
          <t>PX_LAST</t>
        </is>
      </c>
      <c r="I52" s="4" t="inlineStr">
        <is>
          <t>2015-01-01</t>
        </is>
      </c>
      <c r="J52" s="4" t="inlineStr">
        <is>
          <t>확정(2026-09-10 검증)</t>
        </is>
      </c>
      <c r="K52" s="5" t="inlineStr"/>
      <c r="L52" s="4">
        <f>BDP($A52,"NAME")</f>
        <v/>
      </c>
      <c r="M52" s="4">
        <f>BDP($A52,"PX_LAST")</f>
        <v/>
      </c>
      <c r="N52" s="4">
        <f>BDP($A52,"LAST_UPDATE_DT")</f>
        <v/>
      </c>
    </row>
    <row r="53">
      <c r="A53" s="4" t="inlineStr">
        <is>
          <t>LMAHDY Comdty</t>
        </is>
      </c>
      <c r="B53" s="4" t="inlineStr">
        <is>
          <t>ALUMINUM</t>
        </is>
      </c>
      <c r="C53" s="4" t="inlineStr">
        <is>
          <t>LME 알루미늄 현물</t>
        </is>
      </c>
      <c r="D53" s="4" t="inlineStr">
        <is>
          <t>수요</t>
        </is>
      </c>
      <c r="E53" s="4" t="inlineStr">
        <is>
          <t>원자재</t>
        </is>
      </c>
      <c r="F53" s="4" t="inlineStr">
        <is>
          <t>$/t</t>
        </is>
      </c>
      <c r="G53" s="4" t="inlineStr">
        <is>
          <t>D</t>
        </is>
      </c>
      <c r="H53" s="4" t="inlineStr">
        <is>
          <t>PX_LAST</t>
        </is>
      </c>
      <c r="I53" s="4" t="inlineStr">
        <is>
          <t>2015-01-01</t>
        </is>
      </c>
      <c r="J53" s="4" t="inlineStr">
        <is>
          <t>확정(2026-09-10 검증)</t>
        </is>
      </c>
      <c r="K53" s="5" t="inlineStr"/>
      <c r="L53" s="4">
        <f>BDP($A53,"NAME")</f>
        <v/>
      </c>
      <c r="M53" s="4">
        <f>BDP($A53,"PX_LAST")</f>
        <v/>
      </c>
      <c r="N53" s="4">
        <f>BDP($A53,"LAST_UPDATE_DT")</f>
        <v/>
      </c>
    </row>
    <row r="54">
      <c r="A54" s="4" t="inlineStr">
        <is>
          <t>CPMINDX Index</t>
        </is>
      </c>
      <c r="B54" s="4" t="inlineStr">
        <is>
          <t>CN_PMI</t>
        </is>
      </c>
      <c r="C54" s="4" t="inlineStr">
        <is>
          <t>중국 제조업 PMI</t>
        </is>
      </c>
      <c r="D54" s="4" t="inlineStr">
        <is>
          <t>수요</t>
        </is>
      </c>
      <c r="E54" s="4" t="inlineStr">
        <is>
          <t>매크로</t>
        </is>
      </c>
      <c r="F54" s="4" t="inlineStr">
        <is>
          <t>pt</t>
        </is>
      </c>
      <c r="G54" s="4" t="inlineStr">
        <is>
          <t>M</t>
        </is>
      </c>
      <c r="H54" s="4" t="inlineStr">
        <is>
          <t>PX_LAST</t>
        </is>
      </c>
      <c r="I54" s="4" t="inlineStr">
        <is>
          <t>2015-01-01</t>
        </is>
      </c>
      <c r="J54" s="4" t="inlineStr">
        <is>
          <t>확정(2026-09-10 검증)</t>
        </is>
      </c>
      <c r="K54" s="5" t="inlineStr">
        <is>
          <t>49.8 (8월)</t>
        </is>
      </c>
      <c r="L54" s="4">
        <f>BDP($A54,"NAME")</f>
        <v/>
      </c>
      <c r="M54" s="4">
        <f>BDP($A54,"PX_LAST")</f>
        <v/>
      </c>
      <c r="N54" s="4">
        <f>BDP($A54,"LAST_UPDATE_DT")</f>
        <v/>
      </c>
    </row>
    <row r="55">
      <c r="A55" s="4" t="inlineStr">
        <is>
          <t>NAPMPMI Index</t>
        </is>
      </c>
      <c r="B55" s="4" t="inlineStr">
        <is>
          <t>US_ISM</t>
        </is>
      </c>
      <c r="C55" s="4" t="inlineStr">
        <is>
          <t>미국 ISM 제조업 PMI</t>
        </is>
      </c>
      <c r="D55" s="4" t="inlineStr">
        <is>
          <t>수요</t>
        </is>
      </c>
      <c r="E55" s="4" t="inlineStr">
        <is>
          <t>매크로</t>
        </is>
      </c>
      <c r="F55" s="4" t="inlineStr">
        <is>
          <t>pt</t>
        </is>
      </c>
      <c r="G55" s="4" t="inlineStr">
        <is>
          <t>M</t>
        </is>
      </c>
      <c r="H55" s="4" t="inlineStr">
        <is>
          <t>PX_LAST</t>
        </is>
      </c>
      <c r="I55" s="4" t="inlineStr">
        <is>
          <t>2015-01-01</t>
        </is>
      </c>
      <c r="J55" s="4" t="inlineStr">
        <is>
          <t>확정(2026-09-10 검증)</t>
        </is>
      </c>
      <c r="K55" s="5" t="inlineStr"/>
      <c r="L55" s="4">
        <f>BDP($A55,"NAME")</f>
        <v/>
      </c>
      <c r="M55" s="4">
        <f>BDP($A55,"PX_LAST")</f>
        <v/>
      </c>
      <c r="N55" s="4">
        <f>BDP($A55,"LAST_UPDATE_DT")</f>
        <v/>
      </c>
    </row>
    <row r="56">
      <c r="A56" s="4" t="inlineStr">
        <is>
          <t>NAPMNEWO Index</t>
        </is>
      </c>
      <c r="B56" s="4" t="inlineStr">
        <is>
          <t>US_ISM_NEWORD</t>
        </is>
      </c>
      <c r="C56" s="4" t="inlineStr">
        <is>
          <t>ISM 신규주문</t>
        </is>
      </c>
      <c r="D56" s="4" t="inlineStr">
        <is>
          <t>수요</t>
        </is>
      </c>
      <c r="E56" s="4" t="inlineStr">
        <is>
          <t>매크로</t>
        </is>
      </c>
      <c r="F56" s="4" t="inlineStr">
        <is>
          <t>pt</t>
        </is>
      </c>
      <c r="G56" s="4" t="inlineStr">
        <is>
          <t>M</t>
        </is>
      </c>
      <c r="H56" s="4" t="inlineStr">
        <is>
          <t>PX_LAST</t>
        </is>
      </c>
      <c r="I56" s="4" t="inlineStr">
        <is>
          <t>2015-01-01</t>
        </is>
      </c>
      <c r="J56" s="4" t="inlineStr">
        <is>
          <t>확정(2026-09-10 검증)</t>
        </is>
      </c>
      <c r="K56" s="5" t="inlineStr"/>
      <c r="L56" s="4">
        <f>BDP($A56,"NAME")</f>
        <v/>
      </c>
      <c r="M56" s="4">
        <f>BDP($A56,"PX_LAST")</f>
        <v/>
      </c>
      <c r="N56" s="4">
        <f>BDP($A56,"LAST_UPDATE_DT")</f>
        <v/>
      </c>
    </row>
    <row r="57">
      <c r="A57" s="4" t="inlineStr">
        <is>
          <t>RSTAXAG% Index</t>
        </is>
      </c>
      <c r="B57" s="4" t="inlineStr">
        <is>
          <t>US_RETAIL</t>
        </is>
      </c>
      <c r="C57" s="4" t="inlineStr">
        <is>
          <t>미국 소매판매(자동차 제외) MoM</t>
        </is>
      </c>
      <c r="D57" s="4" t="inlineStr">
        <is>
          <t>수요</t>
        </is>
      </c>
      <c r="E57" s="4" t="inlineStr">
        <is>
          <t>매크로</t>
        </is>
      </c>
      <c r="F57" s="4" t="inlineStr">
        <is>
          <t>%</t>
        </is>
      </c>
      <c r="G57" s="4" t="inlineStr">
        <is>
          <t>M</t>
        </is>
      </c>
      <c r="H57" s="4" t="inlineStr">
        <is>
          <t>PX_LAST</t>
        </is>
      </c>
      <c r="I57" s="4" t="inlineStr">
        <is>
          <t>2015-01-01</t>
        </is>
      </c>
      <c r="J57" s="4" t="inlineStr">
        <is>
          <t>확정(2026-09-10 검증)</t>
        </is>
      </c>
      <c r="K57" s="5" t="inlineStr"/>
      <c r="L57" s="4">
        <f>BDP($A57,"NAME")</f>
        <v/>
      </c>
      <c r="M57" s="4">
        <f>BDP($A57,"PX_LAST")</f>
        <v/>
      </c>
      <c r="N57" s="4">
        <f>BDP($A57,"LAST_UPDATE_DT")</f>
        <v/>
      </c>
    </row>
    <row r="58">
      <c r="A58" s="4" t="inlineStr">
        <is>
          <t>MTIBCHNG Index</t>
        </is>
      </c>
      <c r="B58" s="4" t="inlineStr">
        <is>
          <t>US_INV</t>
        </is>
      </c>
      <c r="C58" s="4" t="inlineStr">
        <is>
          <t>미국 기업재고 MoM</t>
        </is>
      </c>
      <c r="D58" s="4" t="inlineStr">
        <is>
          <t>수요</t>
        </is>
      </c>
      <c r="E58" s="4" t="inlineStr">
        <is>
          <t>매크로</t>
        </is>
      </c>
      <c r="F58" s="4" t="inlineStr">
        <is>
          <t>%</t>
        </is>
      </c>
      <c r="G58" s="4" t="inlineStr">
        <is>
          <t>M</t>
        </is>
      </c>
      <c r="H58" s="4" t="inlineStr">
        <is>
          <t>PX_LAST</t>
        </is>
      </c>
      <c r="I58" s="4" t="inlineStr">
        <is>
          <t>2015-01-01</t>
        </is>
      </c>
      <c r="J58" s="4" t="inlineStr">
        <is>
          <t>확정(2026-09-10 검증)</t>
        </is>
      </c>
      <c r="K58" s="5" t="inlineStr"/>
      <c r="L58" s="4">
        <f>BDP($A58,"NAME")</f>
        <v/>
      </c>
      <c r="M58" s="4">
        <f>BDP($A58,"PX_LAST")</f>
        <v/>
      </c>
      <c r="N58" s="4">
        <f>BDP($A58,"LAST_UPDATE_DT")</f>
        <v/>
      </c>
    </row>
    <row r="59">
      <c r="A59" s="4" t="inlineStr">
        <is>
          <t>KOEXTOTY Index</t>
        </is>
      </c>
      <c r="B59" s="4" t="inlineStr">
        <is>
          <t>KR_EXPORT</t>
        </is>
      </c>
      <c r="C59" s="4" t="inlineStr">
        <is>
          <t>한국 수출 YoY</t>
        </is>
      </c>
      <c r="D59" s="4" t="inlineStr">
        <is>
          <t>수요</t>
        </is>
      </c>
      <c r="E59" s="4" t="inlineStr">
        <is>
          <t>매크로</t>
        </is>
      </c>
      <c r="F59" s="4" t="inlineStr">
        <is>
          <t>%</t>
        </is>
      </c>
      <c r="G59" s="4" t="inlineStr">
        <is>
          <t>M</t>
        </is>
      </c>
      <c r="H59" s="4" t="inlineStr">
        <is>
          <t>PX_LAST</t>
        </is>
      </c>
      <c r="I59" s="4" t="inlineStr">
        <is>
          <t>2015-01-01</t>
        </is>
      </c>
      <c r="J59" s="4" t="inlineStr">
        <is>
          <t>확정(2026-09-10 검증)</t>
        </is>
      </c>
      <c r="K59" s="5" t="inlineStr"/>
      <c r="L59" s="4">
        <f>BDP($A59,"NAME")</f>
        <v/>
      </c>
      <c r="M59" s="4">
        <f>BDP($A59,"PX_LAST")</f>
        <v/>
      </c>
      <c r="N59" s="4">
        <f>BDP($A59,"LAST_UPDATE_DT")</f>
        <v/>
      </c>
    </row>
    <row r="60">
      <c r="A60" s="4" t="inlineStr">
        <is>
          <t>USGG10YR Index</t>
        </is>
      </c>
      <c r="B60" s="4" t="inlineStr">
        <is>
          <t>US10Y</t>
        </is>
      </c>
      <c r="C60" s="4" t="inlineStr">
        <is>
          <t>미국채 10년</t>
        </is>
      </c>
      <c r="D60" s="4" t="inlineStr">
        <is>
          <t>시장반응</t>
        </is>
      </c>
      <c r="E60" s="4" t="inlineStr">
        <is>
          <t>금리</t>
        </is>
      </c>
      <c r="F60" s="4" t="inlineStr">
        <is>
          <t>%</t>
        </is>
      </c>
      <c r="G60" s="4" t="inlineStr">
        <is>
          <t>D</t>
        </is>
      </c>
      <c r="H60" s="4" t="inlineStr">
        <is>
          <t>PX_LAST</t>
        </is>
      </c>
      <c r="I60" s="4" t="inlineStr">
        <is>
          <t>2015-01-01</t>
        </is>
      </c>
      <c r="J60" s="4" t="inlineStr">
        <is>
          <t>확정(2026-09-10 검증)</t>
        </is>
      </c>
      <c r="K60" s="5" t="inlineStr">
        <is>
          <t>대시보드 배경비교 활성화</t>
        </is>
      </c>
      <c r="L60" s="4">
        <f>BDP($A60,"NAME")</f>
        <v/>
      </c>
      <c r="M60" s="4">
        <f>BDP($A60,"PX_LAST")</f>
        <v/>
      </c>
      <c r="N60" s="4">
        <f>BDP($A60,"LAST_UPDATE_DT")</f>
        <v/>
      </c>
    </row>
    <row r="61">
      <c r="A61" s="4" t="inlineStr">
        <is>
          <t>USGG2YR Index</t>
        </is>
      </c>
      <c r="B61" s="4" t="inlineStr">
        <is>
          <t>US2Y</t>
        </is>
      </c>
      <c r="C61" s="4" t="inlineStr">
        <is>
          <t>미국채 2년</t>
        </is>
      </c>
      <c r="D61" s="4" t="inlineStr">
        <is>
          <t>시장반응</t>
        </is>
      </c>
      <c r="E61" s="4" t="inlineStr">
        <is>
          <t>금리</t>
        </is>
      </c>
      <c r="F61" s="4" t="inlineStr">
        <is>
          <t>%</t>
        </is>
      </c>
      <c r="G61" s="4" t="inlineStr">
        <is>
          <t>D</t>
        </is>
      </c>
      <c r="H61" s="4" t="inlineStr">
        <is>
          <t>PX_LAST</t>
        </is>
      </c>
      <c r="I61" s="4" t="inlineStr">
        <is>
          <t>2015-01-01</t>
        </is>
      </c>
      <c r="J61" s="4" t="inlineStr">
        <is>
          <t>확정(2026-09-10 검증)</t>
        </is>
      </c>
      <c r="K61" s="5" t="inlineStr"/>
      <c r="L61" s="4">
        <f>BDP($A61,"NAME")</f>
        <v/>
      </c>
      <c r="M61" s="4">
        <f>BDP($A61,"PX_LAST")</f>
        <v/>
      </c>
      <c r="N61" s="4">
        <f>BDP($A61,"LAST_UPDATE_DT")</f>
        <v/>
      </c>
    </row>
    <row r="62">
      <c r="A62" s="4" t="inlineStr">
        <is>
          <t>USGGBE10 Index</t>
        </is>
      </c>
      <c r="B62" s="4" t="inlineStr">
        <is>
          <t>US_BEI10</t>
        </is>
      </c>
      <c r="C62" s="4" t="inlineStr">
        <is>
          <t>미 10년 BEI</t>
        </is>
      </c>
      <c r="D62" s="4" t="inlineStr">
        <is>
          <t>시장반응</t>
        </is>
      </c>
      <c r="E62" s="4" t="inlineStr">
        <is>
          <t>금리</t>
        </is>
      </c>
      <c r="F62" s="4" t="inlineStr">
        <is>
          <t>%</t>
        </is>
      </c>
      <c r="G62" s="4" t="inlineStr">
        <is>
          <t>D</t>
        </is>
      </c>
      <c r="H62" s="4" t="inlineStr">
        <is>
          <t>PX_LAST</t>
        </is>
      </c>
      <c r="I62" s="4" t="inlineStr">
        <is>
          <t>2015-01-01</t>
        </is>
      </c>
      <c r="J62" s="4" t="inlineStr">
        <is>
          <t>확정(2026-09-10 검증)</t>
        </is>
      </c>
      <c r="K62" s="5" t="inlineStr"/>
      <c r="L62" s="4">
        <f>BDP($A62,"NAME")</f>
        <v/>
      </c>
      <c r="M62" s="4">
        <f>BDP($A62,"PX_LAST")</f>
        <v/>
      </c>
      <c r="N62" s="4">
        <f>BDP($A62,"LAST_UPDATE_DT")</f>
        <v/>
      </c>
    </row>
    <row r="63">
      <c r="A63" s="4" t="inlineStr">
        <is>
          <t>GVSK3YR Index</t>
        </is>
      </c>
      <c r="B63" s="4" t="inlineStr">
        <is>
          <t>KR3Y</t>
        </is>
      </c>
      <c r="C63" s="4" t="inlineStr">
        <is>
          <t>한국 국고채 3년</t>
        </is>
      </c>
      <c r="D63" s="4" t="inlineStr">
        <is>
          <t>시장반응</t>
        </is>
      </c>
      <c r="E63" s="4" t="inlineStr">
        <is>
          <t>금리</t>
        </is>
      </c>
      <c r="F63" s="4" t="inlineStr">
        <is>
          <t>%</t>
        </is>
      </c>
      <c r="G63" s="4" t="inlineStr">
        <is>
          <t>D</t>
        </is>
      </c>
      <c r="H63" s="4" t="inlineStr">
        <is>
          <t>PX_LAST</t>
        </is>
      </c>
      <c r="I63" s="4" t="inlineStr">
        <is>
          <t>2015-01-01</t>
        </is>
      </c>
      <c r="J63" s="4" t="inlineStr">
        <is>
          <t>확정(2026-09-10 검증)</t>
        </is>
      </c>
      <c r="K63" s="5" t="inlineStr"/>
      <c r="L63" s="4">
        <f>BDP($A63,"NAME")</f>
        <v/>
      </c>
      <c r="M63" s="4">
        <f>BDP($A63,"PX_LAST")</f>
        <v/>
      </c>
      <c r="N63" s="4">
        <f>BDP($A63,"LAST_UPDATE_DT")</f>
        <v/>
      </c>
    </row>
    <row r="64">
      <c r="A64" s="4" t="inlineStr">
        <is>
          <t>GVSK10YR Index</t>
        </is>
      </c>
      <c r="B64" s="4" t="inlineStr">
        <is>
          <t>KR10Y</t>
        </is>
      </c>
      <c r="C64" s="4" t="inlineStr">
        <is>
          <t>한국 국고채 10년</t>
        </is>
      </c>
      <c r="D64" s="4" t="inlineStr">
        <is>
          <t>시장반응</t>
        </is>
      </c>
      <c r="E64" s="4" t="inlineStr">
        <is>
          <t>금리</t>
        </is>
      </c>
      <c r="F64" s="4" t="inlineStr">
        <is>
          <t>%</t>
        </is>
      </c>
      <c r="G64" s="4" t="inlineStr">
        <is>
          <t>D</t>
        </is>
      </c>
      <c r="H64" s="4" t="inlineStr">
        <is>
          <t>PX_LAST</t>
        </is>
      </c>
      <c r="I64" s="4" t="inlineStr">
        <is>
          <t>2015-01-01</t>
        </is>
      </c>
      <c r="J64" s="4" t="inlineStr">
        <is>
          <t>확정(2026-09-10 검증)</t>
        </is>
      </c>
      <c r="K64" s="5" t="inlineStr"/>
      <c r="L64" s="4">
        <f>BDP($A64,"NAME")</f>
        <v/>
      </c>
      <c r="M64" s="4">
        <f>BDP($A64,"PX_LAST")</f>
        <v/>
      </c>
      <c r="N64" s="4">
        <f>BDP($A64,"LAST_UPDATE_DT")</f>
        <v/>
      </c>
    </row>
    <row r="65">
      <c r="A65" s="4" t="inlineStr">
        <is>
          <t>DXY Curncy</t>
        </is>
      </c>
      <c r="B65" s="4" t="inlineStr">
        <is>
          <t>DXY</t>
        </is>
      </c>
      <c r="C65" s="4" t="inlineStr">
        <is>
          <t>달러인덱스</t>
        </is>
      </c>
      <c r="D65" s="4" t="inlineStr">
        <is>
          <t>시장반응</t>
        </is>
      </c>
      <c r="E65" s="4" t="inlineStr">
        <is>
          <t>환율</t>
        </is>
      </c>
      <c r="F65" s="4" t="inlineStr">
        <is>
          <t>pt</t>
        </is>
      </c>
      <c r="G65" s="4" t="inlineStr">
        <is>
          <t>D</t>
        </is>
      </c>
      <c r="H65" s="4" t="inlineStr">
        <is>
          <t>PX_LAST</t>
        </is>
      </c>
      <c r="I65" s="4" t="inlineStr">
        <is>
          <t>2015-01-01</t>
        </is>
      </c>
      <c r="J65" s="4" t="inlineStr">
        <is>
          <t>확정(2026-09-10 검증)</t>
        </is>
      </c>
      <c r="K65" s="5" t="inlineStr"/>
      <c r="L65" s="4">
        <f>BDP($A65,"NAME")</f>
        <v/>
      </c>
      <c r="M65" s="4">
        <f>BDP($A65,"PX_LAST")</f>
        <v/>
      </c>
      <c r="N65" s="4">
        <f>BDP($A65,"LAST_UPDATE_DT")</f>
        <v/>
      </c>
    </row>
    <row r="66">
      <c r="A66" s="4" t="inlineStr">
        <is>
          <t>USDKRW Curncy</t>
        </is>
      </c>
      <c r="B66" s="4" t="inlineStr">
        <is>
          <t>USDKRW</t>
        </is>
      </c>
      <c r="C66" s="4" t="inlineStr">
        <is>
          <t>원/달러</t>
        </is>
      </c>
      <c r="D66" s="4" t="inlineStr">
        <is>
          <t>시장반응</t>
        </is>
      </c>
      <c r="E66" s="4" t="inlineStr">
        <is>
          <t>환율</t>
        </is>
      </c>
      <c r="F66" s="4" t="inlineStr">
        <is>
          <t>KRW</t>
        </is>
      </c>
      <c r="G66" s="4" t="inlineStr">
        <is>
          <t>D</t>
        </is>
      </c>
      <c r="H66" s="4" t="inlineStr">
        <is>
          <t>PX_LAST</t>
        </is>
      </c>
      <c r="I66" s="4" t="inlineStr">
        <is>
          <t>2015-01-01</t>
        </is>
      </c>
      <c r="J66" s="4" t="inlineStr">
        <is>
          <t>확정(2026-09-10 검증)</t>
        </is>
      </c>
      <c r="K66" s="5" t="inlineStr"/>
      <c r="L66" s="4">
        <f>BDP($A66,"NAME")</f>
        <v/>
      </c>
      <c r="M66" s="4">
        <f>BDP($A66,"PX_LAST")</f>
        <v/>
      </c>
      <c r="N66" s="4">
        <f>BDP($A66,"LAST_UPDATE_DT")</f>
        <v/>
      </c>
    </row>
    <row r="67">
      <c r="A67" s="4" t="inlineStr">
        <is>
          <t>USDCNY Curncy</t>
        </is>
      </c>
      <c r="B67" s="4" t="inlineStr">
        <is>
          <t>USDCNY</t>
        </is>
      </c>
      <c r="C67" s="4" t="inlineStr">
        <is>
          <t>위안/달러</t>
        </is>
      </c>
      <c r="D67" s="4" t="inlineStr">
        <is>
          <t>시장반응</t>
        </is>
      </c>
      <c r="E67" s="4" t="inlineStr">
        <is>
          <t>환율</t>
        </is>
      </c>
      <c r="F67" s="4" t="inlineStr">
        <is>
          <t>CNY</t>
        </is>
      </c>
      <c r="G67" s="4" t="inlineStr">
        <is>
          <t>D</t>
        </is>
      </c>
      <c r="H67" s="4" t="inlineStr">
        <is>
          <t>PX_LAST</t>
        </is>
      </c>
      <c r="I67" s="4" t="inlineStr">
        <is>
          <t>2015-01-01</t>
        </is>
      </c>
      <c r="J67" s="4" t="inlineStr">
        <is>
          <t>확정(2026-09-10 검증)</t>
        </is>
      </c>
      <c r="K67" s="5" t="inlineStr"/>
      <c r="L67" s="4">
        <f>BDP($A67,"NAME")</f>
        <v/>
      </c>
      <c r="M67" s="4">
        <f>BDP($A67,"PX_LAST")</f>
        <v/>
      </c>
      <c r="N67" s="4">
        <f>BDP($A67,"LAST_UPDATE_DT")</f>
        <v/>
      </c>
    </row>
    <row r="68">
      <c r="A68" s="4" t="inlineStr">
        <is>
          <t>KOSPI Index</t>
        </is>
      </c>
      <c r="B68" s="4" t="inlineStr">
        <is>
          <t>KOSPI_BBG</t>
        </is>
      </c>
      <c r="C68" s="4" t="inlineStr">
        <is>
          <t>코스피</t>
        </is>
      </c>
      <c r="D68" s="4" t="inlineStr">
        <is>
          <t>시장반응</t>
        </is>
      </c>
      <c r="E68" s="4" t="inlineStr">
        <is>
          <t>주가지수</t>
        </is>
      </c>
      <c r="F68" s="4" t="inlineStr">
        <is>
          <t>pt</t>
        </is>
      </c>
      <c r="G68" s="4" t="inlineStr">
        <is>
          <t>D</t>
        </is>
      </c>
      <c r="H68" s="4" t="inlineStr">
        <is>
          <t>PX_LAST</t>
        </is>
      </c>
      <c r="I68" s="4" t="inlineStr">
        <is>
          <t>2015-01-01</t>
        </is>
      </c>
      <c r="J68" s="4" t="inlineStr">
        <is>
          <t>확정(2026-09-10 검증)</t>
        </is>
      </c>
      <c r="K68" s="5" t="inlineStr"/>
      <c r="L68" s="4">
        <f>BDP($A68,"NAME")</f>
        <v/>
      </c>
      <c r="M68" s="4">
        <f>BDP($A68,"PX_LAST")</f>
        <v/>
      </c>
      <c r="N68" s="4">
        <f>BDP($A68,"LAST_UPDATE_DT")</f>
        <v/>
      </c>
    </row>
    <row r="69">
      <c r="A69" s="4" t="inlineStr">
        <is>
          <t>SPX Index</t>
        </is>
      </c>
      <c r="B69" s="4" t="inlineStr">
        <is>
          <t>SPX_BBG</t>
        </is>
      </c>
      <c r="C69" s="4" t="inlineStr">
        <is>
          <t>S&amp;P 500</t>
        </is>
      </c>
      <c r="D69" s="4" t="inlineStr">
        <is>
          <t>시장반응</t>
        </is>
      </c>
      <c r="E69" s="4" t="inlineStr">
        <is>
          <t>주가지수</t>
        </is>
      </c>
      <c r="F69" s="4" t="inlineStr">
        <is>
          <t>pt</t>
        </is>
      </c>
      <c r="G69" s="4" t="inlineStr">
        <is>
          <t>D</t>
        </is>
      </c>
      <c r="H69" s="4" t="inlineStr">
        <is>
          <t>PX_LAST</t>
        </is>
      </c>
      <c r="I69" s="4" t="inlineStr">
        <is>
          <t>2015-01-01</t>
        </is>
      </c>
      <c r="J69" s="4" t="inlineStr">
        <is>
          <t>확정(2026-09-10 검증)</t>
        </is>
      </c>
      <c r="K69" s="5" t="inlineStr"/>
      <c r="L69" s="4">
        <f>BDP($A69,"NAME")</f>
        <v/>
      </c>
      <c r="M69" s="4">
        <f>BDP($A69,"PX_LAST")</f>
        <v/>
      </c>
      <c r="N69" s="4">
        <f>BDP($A69,"LAST_UPDATE_DT")</f>
        <v/>
      </c>
    </row>
    <row r="70">
      <c r="A70" s="4" t="inlineStr">
        <is>
          <t>SHCOMP Index</t>
        </is>
      </c>
      <c r="B70" s="4" t="inlineStr">
        <is>
          <t>SHCOMP</t>
        </is>
      </c>
      <c r="C70" s="4" t="inlineStr">
        <is>
          <t>상해종합</t>
        </is>
      </c>
      <c r="D70" s="4" t="inlineStr">
        <is>
          <t>시장반응</t>
        </is>
      </c>
      <c r="E70" s="4" t="inlineStr">
        <is>
          <t>주가지수</t>
        </is>
      </c>
      <c r="F70" s="4" t="inlineStr">
        <is>
          <t>pt</t>
        </is>
      </c>
      <c r="G70" s="4" t="inlineStr">
        <is>
          <t>D</t>
        </is>
      </c>
      <c r="H70" s="4" t="inlineStr">
        <is>
          <t>PX_LAST</t>
        </is>
      </c>
      <c r="I70" s="4" t="inlineStr">
        <is>
          <t>2015-01-01</t>
        </is>
      </c>
      <c r="J70" s="4" t="inlineStr">
        <is>
          <t>확정(2026-09-10 검증)</t>
        </is>
      </c>
      <c r="K70" s="5" t="inlineStr"/>
      <c r="L70" s="4">
        <f>BDP($A70,"NAME")</f>
        <v/>
      </c>
      <c r="M70" s="4">
        <f>BDP($A70,"PX_LAST")</f>
        <v/>
      </c>
      <c r="N70" s="4">
        <f>BDP($A70,"LAST_UPDATE_DT")</f>
        <v/>
      </c>
    </row>
    <row r="71">
      <c r="A71" s="4" t="inlineStr">
        <is>
          <t>TRAN Index</t>
        </is>
      </c>
      <c r="B71" s="4" t="inlineStr">
        <is>
          <t>DJ_TRANS</t>
        </is>
      </c>
      <c r="C71" s="4" t="inlineStr">
        <is>
          <t>다우 운송지수</t>
        </is>
      </c>
      <c r="D71" s="4" t="inlineStr">
        <is>
          <t>시장반응</t>
        </is>
      </c>
      <c r="E71" s="4" t="inlineStr">
        <is>
          <t>섹터</t>
        </is>
      </c>
      <c r="F71" s="4" t="inlineStr">
        <is>
          <t>pt</t>
        </is>
      </c>
      <c r="G71" s="4" t="inlineStr">
        <is>
          <t>D</t>
        </is>
      </c>
      <c r="H71" s="4" t="inlineStr">
        <is>
          <t>PX_LAST</t>
        </is>
      </c>
      <c r="I71" s="4" t="inlineStr">
        <is>
          <t>2015-01-01</t>
        </is>
      </c>
      <c r="J71" s="4" t="inlineStr">
        <is>
          <t>확정(2026-09-10 검증)</t>
        </is>
      </c>
      <c r="K71" s="5" t="inlineStr"/>
      <c r="L71" s="4">
        <f>BDP($A71,"NAME")</f>
        <v/>
      </c>
      <c r="M71" s="4">
        <f>BDP($A71,"PX_LAST")</f>
        <v/>
      </c>
      <c r="N71" s="4">
        <f>BDP($A71,"LAST_UPDATE_DT")</f>
        <v/>
      </c>
    </row>
    <row r="72">
      <c r="A72" s="4" t="inlineStr">
        <is>
          <t>S5INDU Index</t>
        </is>
      </c>
      <c r="B72" s="4" t="inlineStr">
        <is>
          <t>SPX_INDU</t>
        </is>
      </c>
      <c r="C72" s="4" t="inlineStr">
        <is>
          <t>S&amp;P 500 산업재</t>
        </is>
      </c>
      <c r="D72" s="4" t="inlineStr">
        <is>
          <t>시장반응</t>
        </is>
      </c>
      <c r="E72" s="4" t="inlineStr">
        <is>
          <t>섹터</t>
        </is>
      </c>
      <c r="F72" s="4" t="inlineStr">
        <is>
          <t>pt</t>
        </is>
      </c>
      <c r="G72" s="4" t="inlineStr">
        <is>
          <t>D</t>
        </is>
      </c>
      <c r="H72" s="4" t="inlineStr">
        <is>
          <t>PX_LAST</t>
        </is>
      </c>
      <c r="I72" s="4" t="inlineStr">
        <is>
          <t>2015-01-01</t>
        </is>
      </c>
      <c r="J72" s="4" t="inlineStr">
        <is>
          <t>확정(2026-09-10 검증)</t>
        </is>
      </c>
      <c r="K72" s="5" t="inlineStr"/>
      <c r="L72" s="4">
        <f>BDP($A72,"NAME")</f>
        <v/>
      </c>
      <c r="M72" s="4">
        <f>BDP($A72,"PX_LAST")</f>
        <v/>
      </c>
      <c r="N72" s="4">
        <f>BDP($A72,"LAST_UPDATE_DT")</f>
        <v/>
      </c>
    </row>
    <row r="73">
      <c r="A73" s="4" t="inlineStr">
        <is>
          <t>S5RETL Index</t>
        </is>
      </c>
      <c r="B73" s="4" t="inlineStr">
        <is>
          <t>SPX_CONSDISC</t>
        </is>
      </c>
      <c r="C73" s="4" t="inlineStr">
        <is>
          <t>S&amp;P 500 경기소비재 (Cons Discr)</t>
        </is>
      </c>
      <c r="D73" s="4" t="inlineStr">
        <is>
          <t>시장반응</t>
        </is>
      </c>
      <c r="E73" s="4" t="inlineStr">
        <is>
          <t>섹터</t>
        </is>
      </c>
      <c r="F73" s="4" t="inlineStr">
        <is>
          <t>pt</t>
        </is>
      </c>
      <c r="G73" s="4" t="inlineStr">
        <is>
          <t>D</t>
        </is>
      </c>
      <c r="H73" s="4" t="inlineStr">
        <is>
          <t>PX_LAST</t>
        </is>
      </c>
      <c r="I73" s="4" t="inlineStr">
        <is>
          <t>2015-01-01</t>
        </is>
      </c>
      <c r="J73" s="4" t="inlineStr">
        <is>
          <t>확정(2026-09-10 검증)</t>
        </is>
      </c>
      <c r="K73" s="5" t="inlineStr">
        <is>
          <t>검증 결과 Cons Discr로 확인 → 코드명 수정</t>
        </is>
      </c>
      <c r="L73" s="4">
        <f>BDP($A73,"NAME")</f>
        <v/>
      </c>
      <c r="M73" s="4">
        <f>BDP($A73,"PX_LAST")</f>
        <v/>
      </c>
      <c r="N73" s="4">
        <f>BDP($A73,"LAST_UPDATE_DT")</f>
        <v/>
      </c>
    </row>
    <row r="74">
      <c r="A74" s="4" t="inlineStr">
        <is>
          <t>KOSPTRAN Index</t>
        </is>
      </c>
      <c r="B74" s="4" t="inlineStr">
        <is>
          <t>KRX_TRANS</t>
        </is>
      </c>
      <c r="C74" s="4" t="inlineStr">
        <is>
          <t>코스피 운수창고</t>
        </is>
      </c>
      <c r="D74" s="4" t="inlineStr">
        <is>
          <t>시장반응</t>
        </is>
      </c>
      <c r="E74" s="4" t="inlineStr">
        <is>
          <t>섹터</t>
        </is>
      </c>
      <c r="F74" s="4" t="inlineStr">
        <is>
          <t>pt</t>
        </is>
      </c>
      <c r="G74" s="4" t="inlineStr">
        <is>
          <t>D</t>
        </is>
      </c>
      <c r="H74" s="4" t="inlineStr">
        <is>
          <t>PX_LAST</t>
        </is>
      </c>
      <c r="I74" s="4" t="inlineStr">
        <is>
          <t>2015-01-01</t>
        </is>
      </c>
      <c r="J74" s="4" t="inlineStr">
        <is>
          <t>확정(2026-09-10 검증)</t>
        </is>
      </c>
      <c r="K74" s="5" t="inlineStr">
        <is>
          <t>2,033.67</t>
        </is>
      </c>
      <c r="L74" s="4">
        <f>BDP($A74,"NAME")</f>
        <v/>
      </c>
      <c r="M74" s="4">
        <f>BDP($A74,"PX_LAST")</f>
        <v/>
      </c>
      <c r="N74" s="4">
        <f>BDP($A74,"LAST_UPDATE_DT")</f>
        <v/>
      </c>
    </row>
    <row r="75">
      <c r="A75" s="4" t="inlineStr">
        <is>
          <t>011200 KS Equity</t>
        </is>
      </c>
      <c r="B75" s="4" t="inlineStr">
        <is>
          <t>HMM</t>
        </is>
      </c>
      <c r="C75" s="4" t="inlineStr">
        <is>
          <t>HMM</t>
        </is>
      </c>
      <c r="D75" s="4" t="inlineStr">
        <is>
          <t>기업</t>
        </is>
      </c>
      <c r="E75" s="4" t="inlineStr">
        <is>
          <t>컨테이너 선사</t>
        </is>
      </c>
      <c r="F75" s="4" t="inlineStr">
        <is>
          <t>KRW</t>
        </is>
      </c>
      <c r="G75" s="4" t="inlineStr">
        <is>
          <t>D</t>
        </is>
      </c>
      <c r="H75" s="4" t="inlineStr">
        <is>
          <t>PX_LAST</t>
        </is>
      </c>
      <c r="I75" s="4" t="inlineStr">
        <is>
          <t>2015-01-01</t>
        </is>
      </c>
      <c r="J75" s="4" t="inlineStr">
        <is>
          <t>확정(2026-09-10 검증)</t>
        </is>
      </c>
      <c r="K75" s="5" t="inlineStr"/>
      <c r="L75" s="4">
        <f>BDP($A75,"NAME")</f>
        <v/>
      </c>
      <c r="M75" s="4">
        <f>BDP($A75,"PX_LAST")</f>
        <v/>
      </c>
      <c r="N75" s="4">
        <f>BDP($A75,"LAST_UPDATE_DT")</f>
        <v/>
      </c>
    </row>
    <row r="76">
      <c r="A76" s="4" t="inlineStr">
        <is>
          <t>MAERSKB DC Equity</t>
        </is>
      </c>
      <c r="B76" s="4" t="inlineStr">
        <is>
          <t>MAERSK</t>
        </is>
      </c>
      <c r="C76" s="4" t="inlineStr">
        <is>
          <t>A.P. Moller-Maersk B</t>
        </is>
      </c>
      <c r="D76" s="4" t="inlineStr">
        <is>
          <t>기업</t>
        </is>
      </c>
      <c r="E76" s="4" t="inlineStr">
        <is>
          <t>컨테이너 선사</t>
        </is>
      </c>
      <c r="F76" s="4" t="inlineStr">
        <is>
          <t>DKK</t>
        </is>
      </c>
      <c r="G76" s="4" t="inlineStr">
        <is>
          <t>D</t>
        </is>
      </c>
      <c r="H76" s="4" t="inlineStr">
        <is>
          <t>PX_LAST</t>
        </is>
      </c>
      <c r="I76" s="4" t="inlineStr">
        <is>
          <t>2015-01-01</t>
        </is>
      </c>
      <c r="J76" s="4" t="inlineStr">
        <is>
          <t>확정(2026-09-10 검증)</t>
        </is>
      </c>
      <c r="K76" s="5" t="inlineStr"/>
      <c r="L76" s="4">
        <f>BDP($A76,"NAME")</f>
        <v/>
      </c>
      <c r="M76" s="4">
        <f>BDP($A76,"PX_LAST")</f>
        <v/>
      </c>
      <c r="N76" s="4">
        <f>BDP($A76,"LAST_UPDATE_DT")</f>
        <v/>
      </c>
    </row>
    <row r="77">
      <c r="A77" s="4" t="inlineStr">
        <is>
          <t>HLAG GR Equity</t>
        </is>
      </c>
      <c r="B77" s="4" t="inlineStr">
        <is>
          <t>HAPAG</t>
        </is>
      </c>
      <c r="C77" s="4" t="inlineStr">
        <is>
          <t>Hapag-Lloyd</t>
        </is>
      </c>
      <c r="D77" s="4" t="inlineStr">
        <is>
          <t>기업</t>
        </is>
      </c>
      <c r="E77" s="4" t="inlineStr">
        <is>
          <t>컨테이너 선사</t>
        </is>
      </c>
      <c r="F77" s="4" t="inlineStr">
        <is>
          <t>EUR</t>
        </is>
      </c>
      <c r="G77" s="4" t="inlineStr">
        <is>
          <t>D</t>
        </is>
      </c>
      <c r="H77" s="4" t="inlineStr">
        <is>
          <t>PX_LAST</t>
        </is>
      </c>
      <c r="I77" s="4" t="inlineStr">
        <is>
          <t>2015-01-01</t>
        </is>
      </c>
      <c r="J77" s="4" t="inlineStr">
        <is>
          <t>확정(2026-09-10 검증)</t>
        </is>
      </c>
      <c r="K77" s="5" t="inlineStr"/>
      <c r="L77" s="4">
        <f>BDP($A77,"NAME")</f>
        <v/>
      </c>
      <c r="M77" s="4">
        <f>BDP($A77,"PX_LAST")</f>
        <v/>
      </c>
      <c r="N77" s="4">
        <f>BDP($A77,"LAST_UPDATE_DT")</f>
        <v/>
      </c>
    </row>
    <row r="78">
      <c r="A78" s="4" t="inlineStr">
        <is>
          <t>1919 HK Equity</t>
        </is>
      </c>
      <c r="B78" s="4" t="inlineStr">
        <is>
          <t>COSCO</t>
        </is>
      </c>
      <c r="C78" s="4" t="inlineStr">
        <is>
          <t>COSCO Shipping Holdings</t>
        </is>
      </c>
      <c r="D78" s="4" t="inlineStr">
        <is>
          <t>기업</t>
        </is>
      </c>
      <c r="E78" s="4" t="inlineStr">
        <is>
          <t>컨테이너 선사</t>
        </is>
      </c>
      <c r="F78" s="4" t="inlineStr">
        <is>
          <t>HKD</t>
        </is>
      </c>
      <c r="G78" s="4" t="inlineStr">
        <is>
          <t>D</t>
        </is>
      </c>
      <c r="H78" s="4" t="inlineStr">
        <is>
          <t>PX_LAST</t>
        </is>
      </c>
      <c r="I78" s="4" t="inlineStr">
        <is>
          <t>2015-01-01</t>
        </is>
      </c>
      <c r="J78" s="4" t="inlineStr">
        <is>
          <t>확정(2026-09-10 검증)</t>
        </is>
      </c>
      <c r="K78" s="5" t="inlineStr"/>
      <c r="L78" s="4">
        <f>BDP($A78,"NAME")</f>
        <v/>
      </c>
      <c r="M78" s="4">
        <f>BDP($A78,"PX_LAST")</f>
        <v/>
      </c>
      <c r="N78" s="4">
        <f>BDP($A78,"LAST_UPDATE_DT")</f>
        <v/>
      </c>
    </row>
    <row r="79">
      <c r="A79" s="4" t="inlineStr">
        <is>
          <t>2603 TT Equity</t>
        </is>
      </c>
      <c r="B79" s="4" t="inlineStr">
        <is>
          <t>EVERGREEN</t>
        </is>
      </c>
      <c r="C79" s="4" t="inlineStr">
        <is>
          <t>Evergreen Marine</t>
        </is>
      </c>
      <c r="D79" s="4" t="inlineStr">
        <is>
          <t>기업</t>
        </is>
      </c>
      <c r="E79" s="4" t="inlineStr">
        <is>
          <t>컨테이너 선사</t>
        </is>
      </c>
      <c r="F79" s="4" t="inlineStr">
        <is>
          <t>TWD</t>
        </is>
      </c>
      <c r="G79" s="4" t="inlineStr">
        <is>
          <t>D</t>
        </is>
      </c>
      <c r="H79" s="4" t="inlineStr">
        <is>
          <t>PX_LAST</t>
        </is>
      </c>
      <c r="I79" s="4" t="inlineStr">
        <is>
          <t>2015-01-01</t>
        </is>
      </c>
      <c r="J79" s="4" t="inlineStr">
        <is>
          <t>확정(2026-09-10 검증)</t>
        </is>
      </c>
      <c r="K79" s="5" t="inlineStr"/>
      <c r="L79" s="4">
        <f>BDP($A79,"NAME")</f>
        <v/>
      </c>
      <c r="M79" s="4">
        <f>BDP($A79,"PX_LAST")</f>
        <v/>
      </c>
      <c r="N79" s="4">
        <f>BDP($A79,"LAST_UPDATE_DT")</f>
        <v/>
      </c>
    </row>
    <row r="80">
      <c r="A80" s="4" t="inlineStr">
        <is>
          <t>2609 TT Equity</t>
        </is>
      </c>
      <c r="B80" s="4" t="inlineStr">
        <is>
          <t>YANGMING</t>
        </is>
      </c>
      <c r="C80" s="4" t="inlineStr">
        <is>
          <t>Yang Ming</t>
        </is>
      </c>
      <c r="D80" s="4" t="inlineStr">
        <is>
          <t>기업</t>
        </is>
      </c>
      <c r="E80" s="4" t="inlineStr">
        <is>
          <t>컨테이너 선사</t>
        </is>
      </c>
      <c r="F80" s="4" t="inlineStr">
        <is>
          <t>TWD</t>
        </is>
      </c>
      <c r="G80" s="4" t="inlineStr">
        <is>
          <t>D</t>
        </is>
      </c>
      <c r="H80" s="4" t="inlineStr">
        <is>
          <t>PX_LAST</t>
        </is>
      </c>
      <c r="I80" s="4" t="inlineStr">
        <is>
          <t>2015-01-01</t>
        </is>
      </c>
      <c r="J80" s="4" t="inlineStr">
        <is>
          <t>확정(2026-09-10 검증)</t>
        </is>
      </c>
      <c r="K80" s="5" t="inlineStr"/>
      <c r="L80" s="4">
        <f>BDP($A80,"NAME")</f>
        <v/>
      </c>
      <c r="M80" s="4">
        <f>BDP($A80,"PX_LAST")</f>
        <v/>
      </c>
      <c r="N80" s="4">
        <f>BDP($A80,"LAST_UPDATE_DT")</f>
        <v/>
      </c>
    </row>
    <row r="81">
      <c r="A81" s="4" t="inlineStr">
        <is>
          <t>ZIM US Equity</t>
        </is>
      </c>
      <c r="B81" s="4" t="inlineStr">
        <is>
          <t>ZIM</t>
        </is>
      </c>
      <c r="C81" s="4" t="inlineStr">
        <is>
          <t>ZIM Integrated</t>
        </is>
      </c>
      <c r="D81" s="4" t="inlineStr">
        <is>
          <t>기업</t>
        </is>
      </c>
      <c r="E81" s="4" t="inlineStr">
        <is>
          <t>컨테이너 선사</t>
        </is>
      </c>
      <c r="F81" s="4" t="inlineStr">
        <is>
          <t>USD</t>
        </is>
      </c>
      <c r="G81" s="4" t="inlineStr">
        <is>
          <t>D</t>
        </is>
      </c>
      <c r="H81" s="4" t="inlineStr">
        <is>
          <t>PX_LAST</t>
        </is>
      </c>
      <c r="I81" s="4" t="inlineStr">
        <is>
          <t>2021-01-28</t>
        </is>
      </c>
      <c r="J81" s="4" t="inlineStr">
        <is>
          <t>확정(2026-09-10 검증)</t>
        </is>
      </c>
      <c r="K81" s="5" t="inlineStr"/>
      <c r="L81" s="4">
        <f>BDP($A81,"NAME")</f>
        <v/>
      </c>
      <c r="M81" s="4">
        <f>BDP($A81,"PX_LAST")</f>
        <v/>
      </c>
      <c r="N81" s="4">
        <f>BDP($A81,"LAST_UPDATE_DT")</f>
        <v/>
      </c>
    </row>
    <row r="82">
      <c r="A82" s="4" t="inlineStr">
        <is>
          <t>MATX US Equity</t>
        </is>
      </c>
      <c r="B82" s="4" t="inlineStr">
        <is>
          <t>MATSON</t>
        </is>
      </c>
      <c r="C82" s="4" t="inlineStr">
        <is>
          <t>Matson</t>
        </is>
      </c>
      <c r="D82" s="4" t="inlineStr">
        <is>
          <t>기업</t>
        </is>
      </c>
      <c r="E82" s="4" t="inlineStr">
        <is>
          <t>컨테이너 선사</t>
        </is>
      </c>
      <c r="F82" s="4" t="inlineStr">
        <is>
          <t>USD</t>
        </is>
      </c>
      <c r="G82" s="4" t="inlineStr">
        <is>
          <t>D</t>
        </is>
      </c>
      <c r="H82" s="4" t="inlineStr">
        <is>
          <t>PX_LAST</t>
        </is>
      </c>
      <c r="I82" s="4" t="inlineStr">
        <is>
          <t>2015-01-01</t>
        </is>
      </c>
      <c r="J82" s="4" t="inlineStr">
        <is>
          <t>확정(2026-09-10 검증)</t>
        </is>
      </c>
      <c r="K82" s="5" t="inlineStr"/>
      <c r="L82" s="4">
        <f>BDP($A82,"NAME")</f>
        <v/>
      </c>
      <c r="M82" s="4">
        <f>BDP($A82,"PX_LAST")</f>
        <v/>
      </c>
      <c r="N82" s="4">
        <f>BDP($A82,"LAST_UPDATE_DT")</f>
        <v/>
      </c>
    </row>
    <row r="83">
      <c r="A83" s="4" t="inlineStr">
        <is>
          <t>003280 KS Equity</t>
        </is>
      </c>
      <c r="B83" s="4" t="inlineStr">
        <is>
          <t>HEUNGA</t>
        </is>
      </c>
      <c r="C83" s="4" t="inlineStr">
        <is>
          <t>흥아해운</t>
        </is>
      </c>
      <c r="D83" s="4" t="inlineStr">
        <is>
          <t>기업</t>
        </is>
      </c>
      <c r="E83" s="4" t="inlineStr">
        <is>
          <t>컨테이너 선사</t>
        </is>
      </c>
      <c r="F83" s="4" t="inlineStr">
        <is>
          <t>KRW</t>
        </is>
      </c>
      <c r="G83" s="4" t="inlineStr">
        <is>
          <t>D</t>
        </is>
      </c>
      <c r="H83" s="4" t="inlineStr">
        <is>
          <t>PX_LAST</t>
        </is>
      </c>
      <c r="I83" s="4" t="inlineStr">
        <is>
          <t>2015-01-01</t>
        </is>
      </c>
      <c r="J83" s="4" t="inlineStr">
        <is>
          <t>확정(2026-09-10 검증)</t>
        </is>
      </c>
      <c r="K83" s="5" t="inlineStr"/>
      <c r="L83" s="4">
        <f>BDP($A83,"NAME")</f>
        <v/>
      </c>
      <c r="M83" s="4">
        <f>BDP($A83,"PX_LAST")</f>
        <v/>
      </c>
      <c r="N83" s="4">
        <f>BDP($A83,"LAST_UPDATE_DT")</f>
        <v/>
      </c>
    </row>
    <row r="84">
      <c r="A84" s="4" t="inlineStr">
        <is>
          <t>028670 KS Equity</t>
        </is>
      </c>
      <c r="B84" s="4" t="inlineStr">
        <is>
          <t>PANOCEAN</t>
        </is>
      </c>
      <c r="C84" s="4" t="inlineStr">
        <is>
          <t>팬오션</t>
        </is>
      </c>
      <c r="D84" s="4" t="inlineStr">
        <is>
          <t>기업</t>
        </is>
      </c>
      <c r="E84" s="4" t="inlineStr">
        <is>
          <t>벌크 선사</t>
        </is>
      </c>
      <c r="F84" s="4" t="inlineStr">
        <is>
          <t>KRW</t>
        </is>
      </c>
      <c r="G84" s="4" t="inlineStr">
        <is>
          <t>D</t>
        </is>
      </c>
      <c r="H84" s="4" t="inlineStr">
        <is>
          <t>PX_LAST</t>
        </is>
      </c>
      <c r="I84" s="4" t="inlineStr">
        <is>
          <t>2015-01-01</t>
        </is>
      </c>
      <c r="J84" s="4" t="inlineStr">
        <is>
          <t>확정(2026-09-10 검증)</t>
        </is>
      </c>
      <c r="K84" s="5" t="inlineStr"/>
      <c r="L84" s="4">
        <f>BDP($A84,"NAME")</f>
        <v/>
      </c>
      <c r="M84" s="4">
        <f>BDP($A84,"PX_LAST")</f>
        <v/>
      </c>
      <c r="N84" s="4">
        <f>BDP($A84,"LAST_UPDATE_DT")</f>
        <v/>
      </c>
    </row>
    <row r="85">
      <c r="A85" s="4" t="inlineStr">
        <is>
          <t>005880 KS Equity</t>
        </is>
      </c>
      <c r="B85" s="4" t="inlineStr">
        <is>
          <t>KLC</t>
        </is>
      </c>
      <c r="C85" s="4" t="inlineStr">
        <is>
          <t>대한해운</t>
        </is>
      </c>
      <c r="D85" s="4" t="inlineStr">
        <is>
          <t>기업</t>
        </is>
      </c>
      <c r="E85" s="4" t="inlineStr">
        <is>
          <t>벌크 선사</t>
        </is>
      </c>
      <c r="F85" s="4" t="inlineStr">
        <is>
          <t>KRW</t>
        </is>
      </c>
      <c r="G85" s="4" t="inlineStr">
        <is>
          <t>D</t>
        </is>
      </c>
      <c r="H85" s="4" t="inlineStr">
        <is>
          <t>PX_LAST</t>
        </is>
      </c>
      <c r="I85" s="4" t="inlineStr">
        <is>
          <t>2015-01-01</t>
        </is>
      </c>
      <c r="J85" s="4" t="inlineStr">
        <is>
          <t>확정(2026-09-10 검증)</t>
        </is>
      </c>
      <c r="K85" s="5" t="inlineStr"/>
      <c r="L85" s="4">
        <f>BDP($A85,"NAME")</f>
        <v/>
      </c>
      <c r="M85" s="4">
        <f>BDP($A85,"PX_LAST")</f>
        <v/>
      </c>
      <c r="N85" s="4">
        <f>BDP($A85,"LAST_UPDATE_DT")</f>
        <v/>
      </c>
    </row>
    <row r="86">
      <c r="A86" s="4" t="inlineStr">
        <is>
          <t>044450 KS Equity</t>
        </is>
      </c>
      <c r="B86" s="4" t="inlineStr">
        <is>
          <t>KSS</t>
        </is>
      </c>
      <c r="C86" s="4" t="inlineStr">
        <is>
          <t>KSS해운</t>
        </is>
      </c>
      <c r="D86" s="4" t="inlineStr">
        <is>
          <t>기업</t>
        </is>
      </c>
      <c r="E86" s="4" t="inlineStr">
        <is>
          <t>벌크 선사</t>
        </is>
      </c>
      <c r="F86" s="4" t="inlineStr">
        <is>
          <t>KRW</t>
        </is>
      </c>
      <c r="G86" s="4" t="inlineStr">
        <is>
          <t>D</t>
        </is>
      </c>
      <c r="H86" s="4" t="inlineStr">
        <is>
          <t>PX_LAST</t>
        </is>
      </c>
      <c r="I86" s="4" t="inlineStr">
        <is>
          <t>2015-01-01</t>
        </is>
      </c>
      <c r="J86" s="4" t="inlineStr">
        <is>
          <t>확정(2026-09-10 검증)</t>
        </is>
      </c>
      <c r="K86" s="5" t="inlineStr"/>
      <c r="L86" s="4">
        <f>BDP($A86,"NAME")</f>
        <v/>
      </c>
      <c r="M86" s="4">
        <f>BDP($A86,"PX_LAST")</f>
        <v/>
      </c>
      <c r="N86" s="4">
        <f>BDP($A86,"LAST_UPDATE_DT")</f>
        <v/>
      </c>
    </row>
    <row r="87">
      <c r="A87" s="4" t="inlineStr">
        <is>
          <t>SBLK US Equity</t>
        </is>
      </c>
      <c r="B87" s="4" t="inlineStr">
        <is>
          <t>SBLK</t>
        </is>
      </c>
      <c r="C87" s="4" t="inlineStr">
        <is>
          <t>Star Bulk</t>
        </is>
      </c>
      <c r="D87" s="4" t="inlineStr">
        <is>
          <t>기업</t>
        </is>
      </c>
      <c r="E87" s="4" t="inlineStr">
        <is>
          <t>벌크 선사</t>
        </is>
      </c>
      <c r="F87" s="4" t="inlineStr">
        <is>
          <t>USD</t>
        </is>
      </c>
      <c r="G87" s="4" t="inlineStr">
        <is>
          <t>D</t>
        </is>
      </c>
      <c r="H87" s="4" t="inlineStr">
        <is>
          <t>PX_LAST</t>
        </is>
      </c>
      <c r="I87" s="4" t="inlineStr">
        <is>
          <t>2015-01-01</t>
        </is>
      </c>
      <c r="J87" s="4" t="inlineStr">
        <is>
          <t>확정(2026-09-10 검증)</t>
        </is>
      </c>
      <c r="K87" s="5" t="inlineStr"/>
      <c r="L87" s="4">
        <f>BDP($A87,"NAME")</f>
        <v/>
      </c>
      <c r="M87" s="4">
        <f>BDP($A87,"PX_LAST")</f>
        <v/>
      </c>
      <c r="N87" s="4">
        <f>BDP($A87,"LAST_UPDATE_DT")</f>
        <v/>
      </c>
    </row>
    <row r="88">
      <c r="A88" s="4" t="inlineStr">
        <is>
          <t>2343 HK Equity</t>
        </is>
      </c>
      <c r="B88" s="4" t="inlineStr">
        <is>
          <t>PACBASIN</t>
        </is>
      </c>
      <c r="C88" s="4" t="inlineStr">
        <is>
          <t>Pacific Basin</t>
        </is>
      </c>
      <c r="D88" s="4" t="inlineStr">
        <is>
          <t>기업</t>
        </is>
      </c>
      <c r="E88" s="4" t="inlineStr">
        <is>
          <t>벌크 선사</t>
        </is>
      </c>
      <c r="F88" s="4" t="inlineStr">
        <is>
          <t>HKD</t>
        </is>
      </c>
      <c r="G88" s="4" t="inlineStr">
        <is>
          <t>D</t>
        </is>
      </c>
      <c r="H88" s="4" t="inlineStr">
        <is>
          <t>PX_LAST</t>
        </is>
      </c>
      <c r="I88" s="4" t="inlineStr">
        <is>
          <t>2015-01-01</t>
        </is>
      </c>
      <c r="J88" s="4" t="inlineStr">
        <is>
          <t>확정(2026-09-10 검증)</t>
        </is>
      </c>
      <c r="K88" s="5" t="inlineStr"/>
      <c r="L88" s="4">
        <f>BDP($A88,"NAME")</f>
        <v/>
      </c>
      <c r="M88" s="4">
        <f>BDP($A88,"PX_LAST")</f>
        <v/>
      </c>
      <c r="N88" s="4">
        <f>BDP($A88,"LAST_UPDATE_DT")</f>
        <v/>
      </c>
    </row>
    <row r="89">
      <c r="A89" s="4" t="inlineStr">
        <is>
          <t>FRO US Equity</t>
        </is>
      </c>
      <c r="B89" s="4" t="inlineStr">
        <is>
          <t>FRO</t>
        </is>
      </c>
      <c r="C89" s="4" t="inlineStr">
        <is>
          <t>Frontline</t>
        </is>
      </c>
      <c r="D89" s="4" t="inlineStr">
        <is>
          <t>기업</t>
        </is>
      </c>
      <c r="E89" s="4" t="inlineStr">
        <is>
          <t>탱커 선사</t>
        </is>
      </c>
      <c r="F89" s="4" t="inlineStr">
        <is>
          <t>USD</t>
        </is>
      </c>
      <c r="G89" s="4" t="inlineStr">
        <is>
          <t>D</t>
        </is>
      </c>
      <c r="H89" s="4" t="inlineStr">
        <is>
          <t>PX_LAST</t>
        </is>
      </c>
      <c r="I89" s="4" t="inlineStr">
        <is>
          <t>2015-01-01</t>
        </is>
      </c>
      <c r="J89" s="4" t="inlineStr">
        <is>
          <t>확정(2026-09-10 검증)</t>
        </is>
      </c>
      <c r="K89" s="5" t="inlineStr"/>
      <c r="L89" s="4">
        <f>BDP($A89,"NAME")</f>
        <v/>
      </c>
      <c r="M89" s="4">
        <f>BDP($A89,"PX_LAST")</f>
        <v/>
      </c>
      <c r="N89" s="4">
        <f>BDP($A89,"LAST_UPDATE_DT")</f>
        <v/>
      </c>
    </row>
    <row r="90">
      <c r="A90" s="4" t="inlineStr">
        <is>
          <t>DHT US Equity</t>
        </is>
      </c>
      <c r="B90" s="4" t="inlineStr">
        <is>
          <t>DHT</t>
        </is>
      </c>
      <c r="C90" s="4" t="inlineStr">
        <is>
          <t>DHT Holdings</t>
        </is>
      </c>
      <c r="D90" s="4" t="inlineStr">
        <is>
          <t>기업</t>
        </is>
      </c>
      <c r="E90" s="4" t="inlineStr">
        <is>
          <t>탱커 선사</t>
        </is>
      </c>
      <c r="F90" s="4" t="inlineStr">
        <is>
          <t>USD</t>
        </is>
      </c>
      <c r="G90" s="4" t="inlineStr">
        <is>
          <t>D</t>
        </is>
      </c>
      <c r="H90" s="4" t="inlineStr">
        <is>
          <t>PX_LAST</t>
        </is>
      </c>
      <c r="I90" s="4" t="inlineStr">
        <is>
          <t>2015-01-01</t>
        </is>
      </c>
      <c r="J90" s="4" t="inlineStr">
        <is>
          <t>확정(2026-09-10 검증)</t>
        </is>
      </c>
      <c r="K90" s="5" t="inlineStr"/>
      <c r="L90" s="4">
        <f>BDP($A90,"NAME")</f>
        <v/>
      </c>
      <c r="M90" s="4">
        <f>BDP($A90,"PX_LAST")</f>
        <v/>
      </c>
      <c r="N90" s="4">
        <f>BDP($A90,"LAST_UPDATE_DT")</f>
        <v/>
      </c>
    </row>
    <row r="91">
      <c r="A91" s="4" t="inlineStr">
        <is>
          <t>STNG US Equity</t>
        </is>
      </c>
      <c r="B91" s="4" t="inlineStr">
        <is>
          <t>STNG</t>
        </is>
      </c>
      <c r="C91" s="4" t="inlineStr">
        <is>
          <t>Scorpio Tankers</t>
        </is>
      </c>
      <c r="D91" s="4" t="inlineStr">
        <is>
          <t>기업</t>
        </is>
      </c>
      <c r="E91" s="4" t="inlineStr">
        <is>
          <t>탱커 선사</t>
        </is>
      </c>
      <c r="F91" s="4" t="inlineStr">
        <is>
          <t>USD</t>
        </is>
      </c>
      <c r="G91" s="4" t="inlineStr">
        <is>
          <t>D</t>
        </is>
      </c>
      <c r="H91" s="4" t="inlineStr">
        <is>
          <t>PX_LAST</t>
        </is>
      </c>
      <c r="I91" s="4" t="inlineStr">
        <is>
          <t>2015-01-01</t>
        </is>
      </c>
      <c r="J91" s="4" t="inlineStr">
        <is>
          <t>확정(2026-09-10 검증)</t>
        </is>
      </c>
      <c r="K91" s="5" t="inlineStr"/>
      <c r="L91" s="4">
        <f>BDP($A91,"NAME")</f>
        <v/>
      </c>
      <c r="M91" s="4">
        <f>BDP($A91,"PX_LAST")</f>
        <v/>
      </c>
      <c r="N91" s="4">
        <f>BDP($A91,"LAST_UPDATE_DT")</f>
        <v/>
      </c>
    </row>
    <row r="92">
      <c r="A92" s="4" t="inlineStr">
        <is>
          <t>FLNG US Equity</t>
        </is>
      </c>
      <c r="B92" s="4" t="inlineStr">
        <is>
          <t>FLNG</t>
        </is>
      </c>
      <c r="C92" s="4" t="inlineStr">
        <is>
          <t>Flex LNG</t>
        </is>
      </c>
      <c r="D92" s="4" t="inlineStr">
        <is>
          <t>기업</t>
        </is>
      </c>
      <c r="E92" s="4" t="inlineStr">
        <is>
          <t>LNG 선사</t>
        </is>
      </c>
      <c r="F92" s="4" t="inlineStr">
        <is>
          <t>USD</t>
        </is>
      </c>
      <c r="G92" s="4" t="inlineStr">
        <is>
          <t>D</t>
        </is>
      </c>
      <c r="H92" s="4" t="inlineStr">
        <is>
          <t>PX_LAST</t>
        </is>
      </c>
      <c r="I92" s="4" t="inlineStr">
        <is>
          <t>2019-06-01</t>
        </is>
      </c>
      <c r="J92" s="4" t="inlineStr">
        <is>
          <t>확정(2026-09-10 검증)</t>
        </is>
      </c>
      <c r="K92" s="5" t="inlineStr"/>
      <c r="L92" s="4">
        <f>BDP($A92,"NAME")</f>
        <v/>
      </c>
      <c r="M92" s="4">
        <f>BDP($A92,"PX_LAST")</f>
        <v/>
      </c>
      <c r="N92" s="4">
        <f>BDP($A92,"LAST_UPDATE_DT")</f>
        <v/>
      </c>
    </row>
    <row r="93">
      <c r="A93" s="4" t="inlineStr">
        <is>
          <t>009540 KS Equity</t>
        </is>
      </c>
      <c r="B93" s="4" t="inlineStr">
        <is>
          <t>HDKSOE</t>
        </is>
      </c>
      <c r="C93" s="4" t="inlineStr">
        <is>
          <t>HD한국조선해양</t>
        </is>
      </c>
      <c r="D93" s="4" t="inlineStr">
        <is>
          <t>기업</t>
        </is>
      </c>
      <c r="E93" s="4" t="inlineStr">
        <is>
          <t>조선</t>
        </is>
      </c>
      <c r="F93" s="4" t="inlineStr">
        <is>
          <t>KRW</t>
        </is>
      </c>
      <c r="G93" s="4" t="inlineStr">
        <is>
          <t>D</t>
        </is>
      </c>
      <c r="H93" s="4" t="inlineStr">
        <is>
          <t>PX_LAST</t>
        </is>
      </c>
      <c r="I93" s="4" t="inlineStr">
        <is>
          <t>2015-01-01</t>
        </is>
      </c>
      <c r="J93" s="4" t="inlineStr">
        <is>
          <t>확정(2026-09-10 검증)</t>
        </is>
      </c>
      <c r="K93" s="5" t="inlineStr"/>
      <c r="L93" s="4">
        <f>BDP($A93,"NAME")</f>
        <v/>
      </c>
      <c r="M93" s="4">
        <f>BDP($A93,"PX_LAST")</f>
        <v/>
      </c>
      <c r="N93" s="4">
        <f>BDP($A93,"LAST_UPDATE_DT")</f>
        <v/>
      </c>
    </row>
    <row r="94">
      <c r="A94" s="4" t="inlineStr">
        <is>
          <t>329180 KS Equity</t>
        </is>
      </c>
      <c r="B94" s="4" t="inlineStr">
        <is>
          <t>HDHHI</t>
        </is>
      </c>
      <c r="C94" s="4" t="inlineStr">
        <is>
          <t>HD현대중공업</t>
        </is>
      </c>
      <c r="D94" s="4" t="inlineStr">
        <is>
          <t>기업</t>
        </is>
      </c>
      <c r="E94" s="4" t="inlineStr">
        <is>
          <t>조선</t>
        </is>
      </c>
      <c r="F94" s="4" t="inlineStr">
        <is>
          <t>KRW</t>
        </is>
      </c>
      <c r="G94" s="4" t="inlineStr">
        <is>
          <t>D</t>
        </is>
      </c>
      <c r="H94" s="4" t="inlineStr">
        <is>
          <t>PX_LAST</t>
        </is>
      </c>
      <c r="I94" s="4" t="inlineStr">
        <is>
          <t>2021-09-17</t>
        </is>
      </c>
      <c r="J94" s="4" t="inlineStr">
        <is>
          <t>확정(2026-09-10 검증)</t>
        </is>
      </c>
      <c r="K94" s="5" t="inlineStr"/>
      <c r="L94" s="4">
        <f>BDP($A94,"NAME")</f>
        <v/>
      </c>
      <c r="M94" s="4">
        <f>BDP($A94,"PX_LAST")</f>
        <v/>
      </c>
      <c r="N94" s="4">
        <f>BDP($A94,"LAST_UPDATE_DT")</f>
        <v/>
      </c>
    </row>
    <row r="95">
      <c r="A95" s="4" t="inlineStr">
        <is>
          <t>010140 KS Equity</t>
        </is>
      </c>
      <c r="B95" s="4" t="inlineStr">
        <is>
          <t>SHI</t>
        </is>
      </c>
      <c r="C95" s="4" t="inlineStr">
        <is>
          <t>삼성중공업</t>
        </is>
      </c>
      <c r="D95" s="4" t="inlineStr">
        <is>
          <t>기업</t>
        </is>
      </c>
      <c r="E95" s="4" t="inlineStr">
        <is>
          <t>조선</t>
        </is>
      </c>
      <c r="F95" s="4" t="inlineStr">
        <is>
          <t>KRW</t>
        </is>
      </c>
      <c r="G95" s="4" t="inlineStr">
        <is>
          <t>D</t>
        </is>
      </c>
      <c r="H95" s="4" t="inlineStr">
        <is>
          <t>PX_LAST</t>
        </is>
      </c>
      <c r="I95" s="4" t="inlineStr">
        <is>
          <t>2015-01-01</t>
        </is>
      </c>
      <c r="J95" s="4" t="inlineStr">
        <is>
          <t>확정(2026-09-10 검증)</t>
        </is>
      </c>
      <c r="K95" s="5" t="inlineStr"/>
      <c r="L95" s="4">
        <f>BDP($A95,"NAME")</f>
        <v/>
      </c>
      <c r="M95" s="4">
        <f>BDP($A95,"PX_LAST")</f>
        <v/>
      </c>
      <c r="N95" s="4">
        <f>BDP($A95,"LAST_UPDATE_DT")</f>
        <v/>
      </c>
    </row>
    <row r="96">
      <c r="A96" s="4" t="inlineStr">
        <is>
          <t>042660 KS Equity</t>
        </is>
      </c>
      <c r="B96" s="4" t="inlineStr">
        <is>
          <t>HANWHAOCEAN</t>
        </is>
      </c>
      <c r="C96" s="4" t="inlineStr">
        <is>
          <t>한화오션</t>
        </is>
      </c>
      <c r="D96" s="4" t="inlineStr">
        <is>
          <t>기업</t>
        </is>
      </c>
      <c r="E96" s="4" t="inlineStr">
        <is>
          <t>조선</t>
        </is>
      </c>
      <c r="F96" s="4" t="inlineStr">
        <is>
          <t>KRW</t>
        </is>
      </c>
      <c r="G96" s="4" t="inlineStr">
        <is>
          <t>D</t>
        </is>
      </c>
      <c r="H96" s="4" t="inlineStr">
        <is>
          <t>PX_LAST</t>
        </is>
      </c>
      <c r="I96" s="4" t="inlineStr">
        <is>
          <t>2015-01-01</t>
        </is>
      </c>
      <c r="J96" s="4" t="inlineStr">
        <is>
          <t>확정(2026-09-10 검증)</t>
        </is>
      </c>
      <c r="K96" s="5" t="inlineStr"/>
      <c r="L96" s="4">
        <f>BDP($A96,"NAME")</f>
        <v/>
      </c>
      <c r="M96" s="4">
        <f>BDP($A96,"PX_LAST")</f>
        <v/>
      </c>
      <c r="N96" s="4">
        <f>BDP($A96,"LAST_UPDATE_DT")</f>
        <v/>
      </c>
    </row>
    <row r="97">
      <c r="A97" s="4" t="inlineStr">
        <is>
          <t>086280 KS Equity</t>
        </is>
      </c>
      <c r="B97" s="4" t="inlineStr">
        <is>
          <t>GLOVIS</t>
        </is>
      </c>
      <c r="C97" s="4" t="inlineStr">
        <is>
          <t>현대글로비스</t>
        </is>
      </c>
      <c r="D97" s="4" t="inlineStr">
        <is>
          <t>기업</t>
        </is>
      </c>
      <c r="E97" s="4" t="inlineStr">
        <is>
          <t>물류</t>
        </is>
      </c>
      <c r="F97" s="4" t="inlineStr">
        <is>
          <t>KRW</t>
        </is>
      </c>
      <c r="G97" s="4" t="inlineStr">
        <is>
          <t>D</t>
        </is>
      </c>
      <c r="H97" s="4" t="inlineStr">
        <is>
          <t>PX_LAST</t>
        </is>
      </c>
      <c r="I97" s="4" t="inlineStr">
        <is>
          <t>2015-01-01</t>
        </is>
      </c>
      <c r="J97" s="4" t="inlineStr">
        <is>
          <t>확정(2026-09-10 검증)</t>
        </is>
      </c>
      <c r="K97" s="5" t="inlineStr"/>
      <c r="L97" s="4">
        <f>BDP($A97,"NAME")</f>
        <v/>
      </c>
      <c r="M97" s="4">
        <f>BDP($A97,"PX_LAST")</f>
        <v/>
      </c>
      <c r="N97" s="4">
        <f>BDP($A97,"LAST_UPDATE_DT")</f>
        <v/>
      </c>
    </row>
    <row r="98">
      <c r="A98" s="4" t="inlineStr">
        <is>
          <t>000120 KS Equity</t>
        </is>
      </c>
      <c r="B98" s="4" t="inlineStr">
        <is>
          <t>CJLOGIS</t>
        </is>
      </c>
      <c r="C98" s="4" t="inlineStr">
        <is>
          <t>CJ대한통운</t>
        </is>
      </c>
      <c r="D98" s="4" t="inlineStr">
        <is>
          <t>기업</t>
        </is>
      </c>
      <c r="E98" s="4" t="inlineStr">
        <is>
          <t>물류</t>
        </is>
      </c>
      <c r="F98" s="4" t="inlineStr">
        <is>
          <t>KRW</t>
        </is>
      </c>
      <c r="G98" s="4" t="inlineStr">
        <is>
          <t>D</t>
        </is>
      </c>
      <c r="H98" s="4" t="inlineStr">
        <is>
          <t>PX_LAST</t>
        </is>
      </c>
      <c r="I98" s="4" t="inlineStr">
        <is>
          <t>2015-01-01</t>
        </is>
      </c>
      <c r="J98" s="4" t="inlineStr">
        <is>
          <t>확정(2026-09-10 검증)</t>
        </is>
      </c>
      <c r="K98" s="5" t="inlineStr"/>
      <c r="L98" s="4">
        <f>BDP($A98,"NAME")</f>
        <v/>
      </c>
      <c r="M98" s="4">
        <f>BDP($A98,"PX_LAST")</f>
        <v/>
      </c>
      <c r="N98" s="4">
        <f>BDP($A98,"LAST_UPDATE_DT")</f>
        <v/>
      </c>
    </row>
    <row r="99">
      <c r="A99" s="4" t="inlineStr">
        <is>
          <t>DSV DC Equity</t>
        </is>
      </c>
      <c r="B99" s="4" t="inlineStr">
        <is>
          <t>DSV</t>
        </is>
      </c>
      <c r="C99" s="4" t="inlineStr">
        <is>
          <t>DSV</t>
        </is>
      </c>
      <c r="D99" s="4" t="inlineStr">
        <is>
          <t>기업</t>
        </is>
      </c>
      <c r="E99" s="4" t="inlineStr">
        <is>
          <t>포워더</t>
        </is>
      </c>
      <c r="F99" s="4" t="inlineStr">
        <is>
          <t>DKK</t>
        </is>
      </c>
      <c r="G99" s="4" t="inlineStr">
        <is>
          <t>D</t>
        </is>
      </c>
      <c r="H99" s="4" t="inlineStr">
        <is>
          <t>PX_LAST</t>
        </is>
      </c>
      <c r="I99" s="4" t="inlineStr">
        <is>
          <t>2015-01-01</t>
        </is>
      </c>
      <c r="J99" s="4" t="inlineStr">
        <is>
          <t>확정(2026-09-10 검증)</t>
        </is>
      </c>
      <c r="K99" s="5" t="inlineStr"/>
      <c r="L99" s="4">
        <f>BDP($A99,"NAME")</f>
        <v/>
      </c>
      <c r="M99" s="4">
        <f>BDP($A99,"PX_LAST")</f>
        <v/>
      </c>
      <c r="N99" s="4">
        <f>BDP($A99,"LAST_UPDATE_DT")</f>
        <v/>
      </c>
    </row>
    <row r="100">
      <c r="A100" s="4" t="inlineStr">
        <is>
          <t>KNIN SW Equity</t>
        </is>
      </c>
      <c r="B100" s="4" t="inlineStr">
        <is>
          <t>KNIN</t>
        </is>
      </c>
      <c r="C100" s="4" t="inlineStr">
        <is>
          <t>Kuehne+Nagel</t>
        </is>
      </c>
      <c r="D100" s="4" t="inlineStr">
        <is>
          <t>기업</t>
        </is>
      </c>
      <c r="E100" s="4" t="inlineStr">
        <is>
          <t>포워더</t>
        </is>
      </c>
      <c r="F100" s="4" t="inlineStr">
        <is>
          <t>CHF</t>
        </is>
      </c>
      <c r="G100" s="4" t="inlineStr">
        <is>
          <t>D</t>
        </is>
      </c>
      <c r="H100" s="4" t="inlineStr">
        <is>
          <t>PX_LAST</t>
        </is>
      </c>
      <c r="I100" s="4" t="inlineStr">
        <is>
          <t>2015-01-01</t>
        </is>
      </c>
      <c r="J100" s="4" t="inlineStr">
        <is>
          <t>확정(2026-09-10 검증)</t>
        </is>
      </c>
      <c r="K100" s="5" t="inlineStr"/>
      <c r="L100" s="4">
        <f>BDP($A100,"NAME")</f>
        <v/>
      </c>
      <c r="M100" s="4">
        <f>BDP($A100,"PX_LAST")</f>
        <v/>
      </c>
      <c r="N100" s="4">
        <f>BDP($A100,"LAST_UPDATE_DT")</f>
        <v/>
      </c>
    </row>
    <row r="101">
      <c r="A101" s="4" t="inlineStr">
        <is>
          <t>EXPD US Equity</t>
        </is>
      </c>
      <c r="B101" s="4" t="inlineStr">
        <is>
          <t>EXPD</t>
        </is>
      </c>
      <c r="C101" s="4" t="inlineStr">
        <is>
          <t>Expeditors</t>
        </is>
      </c>
      <c r="D101" s="4" t="inlineStr">
        <is>
          <t>기업</t>
        </is>
      </c>
      <c r="E101" s="4" t="inlineStr">
        <is>
          <t>포워더</t>
        </is>
      </c>
      <c r="F101" s="4" t="inlineStr">
        <is>
          <t>USD</t>
        </is>
      </c>
      <c r="G101" s="4" t="inlineStr">
        <is>
          <t>D</t>
        </is>
      </c>
      <c r="H101" s="4" t="inlineStr">
        <is>
          <t>PX_LAST</t>
        </is>
      </c>
      <c r="I101" s="4" t="inlineStr">
        <is>
          <t>2015-01-01</t>
        </is>
      </c>
      <c r="J101" s="4" t="inlineStr">
        <is>
          <t>확정(2026-09-10 검증)</t>
        </is>
      </c>
      <c r="K101" s="5" t="inlineStr"/>
      <c r="L101" s="4">
        <f>BDP($A101,"NAME")</f>
        <v/>
      </c>
      <c r="M101" s="4">
        <f>BDP($A101,"PX_LAST")</f>
        <v/>
      </c>
      <c r="N101" s="4">
        <f>BDP($A101,"LAST_UPDATE_DT")</f>
        <v/>
      </c>
    </row>
    <row r="102">
      <c r="A102" s="4" t="inlineStr">
        <is>
          <t>CHRW US Equity</t>
        </is>
      </c>
      <c r="B102" s="4" t="inlineStr">
        <is>
          <t>CHRW</t>
        </is>
      </c>
      <c r="C102" s="4" t="inlineStr">
        <is>
          <t>C.H. Robinson</t>
        </is>
      </c>
      <c r="D102" s="4" t="inlineStr">
        <is>
          <t>기업</t>
        </is>
      </c>
      <c r="E102" s="4" t="inlineStr">
        <is>
          <t>포워더</t>
        </is>
      </c>
      <c r="F102" s="4" t="inlineStr">
        <is>
          <t>USD</t>
        </is>
      </c>
      <c r="G102" s="4" t="inlineStr">
        <is>
          <t>D</t>
        </is>
      </c>
      <c r="H102" s="4" t="inlineStr">
        <is>
          <t>PX_LAST</t>
        </is>
      </c>
      <c r="I102" s="4" t="inlineStr">
        <is>
          <t>2015-01-01</t>
        </is>
      </c>
      <c r="J102" s="4" t="inlineStr">
        <is>
          <t>확정(2026-09-10 검증)</t>
        </is>
      </c>
      <c r="K102" s="5" t="inlineStr"/>
      <c r="L102" s="4">
        <f>BDP($A102,"NAME")</f>
        <v/>
      </c>
      <c r="M102" s="4">
        <f>BDP($A102,"PX_LAST")</f>
        <v/>
      </c>
      <c r="N102" s="4">
        <f>BDP($A102,"LAST_UPDATE_DT")</f>
        <v/>
      </c>
    </row>
    <row r="103">
      <c r="A103" s="4" t="inlineStr">
        <is>
          <t>HPHT SP Equity</t>
        </is>
      </c>
      <c r="B103" s="4" t="inlineStr">
        <is>
          <t>HPHT</t>
        </is>
      </c>
      <c r="C103" s="4" t="inlineStr">
        <is>
          <t>HPH Trust</t>
        </is>
      </c>
      <c r="D103" s="4" t="inlineStr">
        <is>
          <t>기업</t>
        </is>
      </c>
      <c r="E103" s="4" t="inlineStr">
        <is>
          <t>항만</t>
        </is>
      </c>
      <c r="F103" s="4" t="inlineStr">
        <is>
          <t>SGD</t>
        </is>
      </c>
      <c r="G103" s="4" t="inlineStr">
        <is>
          <t>D</t>
        </is>
      </c>
      <c r="H103" s="4" t="inlineStr">
        <is>
          <t>PX_LAST</t>
        </is>
      </c>
      <c r="I103" s="4" t="inlineStr">
        <is>
          <t>2015-01-01</t>
        </is>
      </c>
      <c r="J103" s="4" t="inlineStr">
        <is>
          <t>확정(2026-09-10 검증)</t>
        </is>
      </c>
      <c r="K103" s="5" t="inlineStr"/>
      <c r="L103" s="4">
        <f>BDP($A103,"NAME")</f>
        <v/>
      </c>
      <c r="M103" s="4">
        <f>BDP($A103,"PX_LAST")</f>
        <v/>
      </c>
      <c r="N103" s="4">
        <f>BDP($A103,"LAST_UPDATE_DT")</f>
        <v/>
      </c>
    </row>
    <row r="104">
      <c r="A104" s="4" t="inlineStr">
        <is>
          <t>1199 HK Equity</t>
        </is>
      </c>
      <c r="B104" s="4" t="inlineStr">
        <is>
          <t>COSCOPORTS</t>
        </is>
      </c>
      <c r="C104" s="4" t="inlineStr">
        <is>
          <t>COSCO Shipping Ports</t>
        </is>
      </c>
      <c r="D104" s="4" t="inlineStr">
        <is>
          <t>기업</t>
        </is>
      </c>
      <c r="E104" s="4" t="inlineStr">
        <is>
          <t>항만</t>
        </is>
      </c>
      <c r="F104" s="4" t="inlineStr">
        <is>
          <t>HKD</t>
        </is>
      </c>
      <c r="G104" s="4" t="inlineStr">
        <is>
          <t>D</t>
        </is>
      </c>
      <c r="H104" s="4" t="inlineStr">
        <is>
          <t>PX_LAST</t>
        </is>
      </c>
      <c r="I104" s="4" t="inlineStr">
        <is>
          <t>2015-01-01</t>
        </is>
      </c>
      <c r="J104" s="4" t="inlineStr">
        <is>
          <t>확정(2026-09-10 검증)</t>
        </is>
      </c>
      <c r="K104" s="5" t="inlineStr"/>
      <c r="L104" s="4">
        <f>BDP($A104,"NAME")</f>
        <v/>
      </c>
      <c r="M104" s="4">
        <f>BDP($A104,"PX_LAST")</f>
        <v/>
      </c>
      <c r="N104" s="4">
        <f>BDP($A104,"LAST_UPDATE_DT")</f>
        <v/>
      </c>
    </row>
    <row r="105">
      <c r="A105" s="4" t="inlineStr">
        <is>
          <t>ICT PM Equity</t>
        </is>
      </c>
      <c r="B105" s="4" t="inlineStr">
        <is>
          <t>ICTSI</t>
        </is>
      </c>
      <c r="C105" s="4" t="inlineStr">
        <is>
          <t>ICTSI</t>
        </is>
      </c>
      <c r="D105" s="4" t="inlineStr">
        <is>
          <t>기업</t>
        </is>
      </c>
      <c r="E105" s="4" t="inlineStr">
        <is>
          <t>항만</t>
        </is>
      </c>
      <c r="F105" s="4" t="inlineStr">
        <is>
          <t>PHP</t>
        </is>
      </c>
      <c r="G105" s="4" t="inlineStr">
        <is>
          <t>D</t>
        </is>
      </c>
      <c r="H105" s="4" t="inlineStr">
        <is>
          <t>PX_LAST</t>
        </is>
      </c>
      <c r="I105" s="4" t="inlineStr">
        <is>
          <t>2015-01-01</t>
        </is>
      </c>
      <c r="J105" s="4" t="inlineStr">
        <is>
          <t>확정(2026-09-10 검증)</t>
        </is>
      </c>
      <c r="K105" s="5" t="inlineStr"/>
      <c r="L105" s="4">
        <f>BDP($A105,"NAME")</f>
        <v/>
      </c>
      <c r="M105" s="4">
        <f>BDP($A105,"PX_LAST")</f>
        <v/>
      </c>
      <c r="N105" s="4">
        <f>BDP($A105,"LAST_UPDATE_DT")</f>
        <v/>
      </c>
    </row>
    <row r="106">
      <c r="A106" s="4" t="inlineStr">
        <is>
          <t>2039 HK Equity</t>
        </is>
      </c>
      <c r="B106" s="4" t="inlineStr">
        <is>
          <t>CIMC</t>
        </is>
      </c>
      <c r="C106" s="4" t="inlineStr">
        <is>
          <t>CIMC</t>
        </is>
      </c>
      <c r="D106" s="4" t="inlineStr">
        <is>
          <t>기업</t>
        </is>
      </c>
      <c r="E106" s="4" t="inlineStr">
        <is>
          <t>컨테이너 박스</t>
        </is>
      </c>
      <c r="F106" s="4" t="inlineStr">
        <is>
          <t>HKD</t>
        </is>
      </c>
      <c r="G106" s="4" t="inlineStr">
        <is>
          <t>D</t>
        </is>
      </c>
      <c r="H106" s="4" t="inlineStr">
        <is>
          <t>PX_LAST</t>
        </is>
      </c>
      <c r="I106" s="4" t="inlineStr">
        <is>
          <t>2015-01-01</t>
        </is>
      </c>
      <c r="J106" s="4" t="inlineStr">
        <is>
          <t>확정(2026-09-10 검증)</t>
        </is>
      </c>
      <c r="K106" s="5" t="inlineStr"/>
      <c r="L106" s="4">
        <f>BDP($A106,"NAME")</f>
        <v/>
      </c>
      <c r="M106" s="4">
        <f>BDP($A106,"PX_LAST")</f>
        <v/>
      </c>
      <c r="N106" s="4">
        <f>BDP($A106,"LAST_UPDATE_DT")</f>
        <v/>
      </c>
    </row>
    <row r="107">
      <c r="A107" s="4" t="inlineStr">
        <is>
          <t>CSX US Equity</t>
        </is>
      </c>
      <c r="B107" s="4" t="inlineStr">
        <is>
          <t>CSX</t>
        </is>
      </c>
      <c r="C107" s="4" t="inlineStr">
        <is>
          <t>CSX</t>
        </is>
      </c>
      <c r="D107" s="4" t="inlineStr">
        <is>
          <t>기업</t>
        </is>
      </c>
      <c r="E107" s="4" t="inlineStr">
        <is>
          <t>철도</t>
        </is>
      </c>
      <c r="F107" s="4" t="inlineStr">
        <is>
          <t>USD</t>
        </is>
      </c>
      <c r="G107" s="4" t="inlineStr">
        <is>
          <t>D</t>
        </is>
      </c>
      <c r="H107" s="4" t="inlineStr">
        <is>
          <t>PX_LAST</t>
        </is>
      </c>
      <c r="I107" s="4" t="inlineStr">
        <is>
          <t>2015-01-01</t>
        </is>
      </c>
      <c r="J107" s="4" t="inlineStr">
        <is>
          <t>확정(2026-09-10 검증)</t>
        </is>
      </c>
      <c r="K107" s="5" t="inlineStr"/>
      <c r="L107" s="4">
        <f>BDP($A107,"NAME")</f>
        <v/>
      </c>
      <c r="M107" s="4">
        <f>BDP($A107,"PX_LAST")</f>
        <v/>
      </c>
      <c r="N107" s="4">
        <f>BDP($A107,"LAST_UPDATE_DT")</f>
        <v/>
      </c>
    </row>
    <row r="108">
      <c r="A108" s="4" t="inlineStr">
        <is>
          <t>NSC US Equity</t>
        </is>
      </c>
      <c r="B108" s="4" t="inlineStr">
        <is>
          <t>NSC</t>
        </is>
      </c>
      <c r="C108" s="4" t="inlineStr">
        <is>
          <t>Norfolk Southern</t>
        </is>
      </c>
      <c r="D108" s="4" t="inlineStr">
        <is>
          <t>기업</t>
        </is>
      </c>
      <c r="E108" s="4" t="inlineStr">
        <is>
          <t>철도</t>
        </is>
      </c>
      <c r="F108" s="4" t="inlineStr">
        <is>
          <t>USD</t>
        </is>
      </c>
      <c r="G108" s="4" t="inlineStr">
        <is>
          <t>D</t>
        </is>
      </c>
      <c r="H108" s="4" t="inlineStr">
        <is>
          <t>PX_LAST</t>
        </is>
      </c>
      <c r="I108" s="4" t="inlineStr">
        <is>
          <t>2015-01-01</t>
        </is>
      </c>
      <c r="J108" s="4" t="inlineStr">
        <is>
          <t>확정(2026-09-10 검증)</t>
        </is>
      </c>
      <c r="K108" s="5" t="inlineStr"/>
      <c r="L108" s="4">
        <f>BDP($A108,"NAME")</f>
        <v/>
      </c>
      <c r="M108" s="4">
        <f>BDP($A108,"PX_LAST")</f>
        <v/>
      </c>
      <c r="N108" s="4">
        <f>BDP($A108,"LAST_UPDATE_DT")</f>
        <v/>
      </c>
    </row>
    <row r="109">
      <c r="A109" s="4" t="inlineStr">
        <is>
          <t>UNP US Equity</t>
        </is>
      </c>
      <c r="B109" s="4" t="inlineStr">
        <is>
          <t>UNP</t>
        </is>
      </c>
      <c r="C109" s="4" t="inlineStr">
        <is>
          <t>Union Pacific</t>
        </is>
      </c>
      <c r="D109" s="4" t="inlineStr">
        <is>
          <t>기업</t>
        </is>
      </c>
      <c r="E109" s="4" t="inlineStr">
        <is>
          <t>철도</t>
        </is>
      </c>
      <c r="F109" s="4" t="inlineStr">
        <is>
          <t>USD</t>
        </is>
      </c>
      <c r="G109" s="4" t="inlineStr">
        <is>
          <t>D</t>
        </is>
      </c>
      <c r="H109" s="4" t="inlineStr">
        <is>
          <t>PX_LAST</t>
        </is>
      </c>
      <c r="I109" s="4" t="inlineStr">
        <is>
          <t>2015-01-01</t>
        </is>
      </c>
      <c r="J109" s="4" t="inlineStr">
        <is>
          <t>확정(2026-09-10 검증)</t>
        </is>
      </c>
      <c r="K109" s="5" t="inlineStr"/>
      <c r="L109" s="4">
        <f>BDP($A109,"NAME")</f>
        <v/>
      </c>
      <c r="M109" s="4">
        <f>BDP($A109,"PX_LAST")</f>
        <v/>
      </c>
      <c r="N109" s="4">
        <f>BDP($A109,"LAST_UPDATE_DT")</f>
        <v/>
      </c>
    </row>
    <row r="110">
      <c r="A110" s="4" t="inlineStr">
        <is>
          <t>ADM US Equity</t>
        </is>
      </c>
      <c r="B110" s="4" t="inlineStr">
        <is>
          <t>ADM</t>
        </is>
      </c>
      <c r="C110" s="4" t="inlineStr">
        <is>
          <t>ADM</t>
        </is>
      </c>
      <c r="D110" s="4" t="inlineStr">
        <is>
          <t>기업</t>
        </is>
      </c>
      <c r="E110" s="4" t="inlineStr">
        <is>
          <t>곡물 화주</t>
        </is>
      </c>
      <c r="F110" s="4" t="inlineStr">
        <is>
          <t>USD</t>
        </is>
      </c>
      <c r="G110" s="4" t="inlineStr">
        <is>
          <t>D</t>
        </is>
      </c>
      <c r="H110" s="4" t="inlineStr">
        <is>
          <t>PX_LAST</t>
        </is>
      </c>
      <c r="I110" s="4" t="inlineStr">
        <is>
          <t>2015-01-01</t>
        </is>
      </c>
      <c r="J110" s="4" t="inlineStr">
        <is>
          <t>확정(2026-09-10 검증)</t>
        </is>
      </c>
      <c r="K110" s="5" t="inlineStr"/>
      <c r="L110" s="4">
        <f>BDP($A110,"NAME")</f>
        <v/>
      </c>
      <c r="M110" s="4">
        <f>BDP($A110,"PX_LAST")</f>
        <v/>
      </c>
      <c r="N110" s="4">
        <f>BDP($A110,"LAST_UPDATE_DT")</f>
        <v/>
      </c>
    </row>
    <row r="111">
      <c r="A111" s="4" t="inlineStr">
        <is>
          <t>BG US Equity</t>
        </is>
      </c>
      <c r="B111" s="4" t="inlineStr">
        <is>
          <t>BUNGE</t>
        </is>
      </c>
      <c r="C111" s="4" t="inlineStr">
        <is>
          <t>Bunge</t>
        </is>
      </c>
      <c r="D111" s="4" t="inlineStr">
        <is>
          <t>기업</t>
        </is>
      </c>
      <c r="E111" s="4" t="inlineStr">
        <is>
          <t>곡물 화주</t>
        </is>
      </c>
      <c r="F111" s="4" t="inlineStr">
        <is>
          <t>USD</t>
        </is>
      </c>
      <c r="G111" s="4" t="inlineStr">
        <is>
          <t>D</t>
        </is>
      </c>
      <c r="H111" s="4" t="inlineStr">
        <is>
          <t>PX_LAST</t>
        </is>
      </c>
      <c r="I111" s="4" t="inlineStr">
        <is>
          <t>2015-01-01</t>
        </is>
      </c>
      <c r="J111" s="4" t="inlineStr">
        <is>
          <t>확정(2026-09-10 검증)</t>
        </is>
      </c>
      <c r="K111" s="5" t="inlineStr"/>
      <c r="L111" s="4">
        <f>BDP($A111,"NAME")</f>
        <v/>
      </c>
      <c r="M111" s="4">
        <f>BDP($A111,"PX_LAST")</f>
        <v/>
      </c>
      <c r="N111" s="4">
        <f>BDP($A111,"LAST_UPDATE_DT")</f>
        <v/>
      </c>
    </row>
    <row r="112">
      <c r="A112" s="4" t="inlineStr">
        <is>
          <t>VALE3 BZ Equity</t>
        </is>
      </c>
      <c r="B112" s="4" t="inlineStr">
        <is>
          <t>VALE</t>
        </is>
      </c>
      <c r="C112" s="4" t="inlineStr">
        <is>
          <t>Vale</t>
        </is>
      </c>
      <c r="D112" s="4" t="inlineStr">
        <is>
          <t>기업</t>
        </is>
      </c>
      <c r="E112" s="4" t="inlineStr">
        <is>
          <t>광산</t>
        </is>
      </c>
      <c r="F112" s="4" t="inlineStr">
        <is>
          <t>BRL</t>
        </is>
      </c>
      <c r="G112" s="4" t="inlineStr">
        <is>
          <t>D</t>
        </is>
      </c>
      <c r="H112" s="4" t="inlineStr">
        <is>
          <t>PX_LAST</t>
        </is>
      </c>
      <c r="I112" s="4" t="inlineStr">
        <is>
          <t>2015-01-01</t>
        </is>
      </c>
      <c r="J112" s="4" t="inlineStr">
        <is>
          <t>확정(2026-09-10 검증)</t>
        </is>
      </c>
      <c r="K112" s="5" t="inlineStr"/>
      <c r="L112" s="4">
        <f>BDP($A112,"NAME")</f>
        <v/>
      </c>
      <c r="M112" s="4">
        <f>BDP($A112,"PX_LAST")</f>
        <v/>
      </c>
      <c r="N112" s="4">
        <f>BDP($A112,"LAST_UPDATE_DT")</f>
        <v/>
      </c>
    </row>
    <row r="113">
      <c r="A113" s="4" t="inlineStr">
        <is>
          <t>BHP AU Equity</t>
        </is>
      </c>
      <c r="B113" s="4" t="inlineStr">
        <is>
          <t>BHP</t>
        </is>
      </c>
      <c r="C113" s="4" t="inlineStr">
        <is>
          <t>BHP</t>
        </is>
      </c>
      <c r="D113" s="4" t="inlineStr">
        <is>
          <t>기업</t>
        </is>
      </c>
      <c r="E113" s="4" t="inlineStr">
        <is>
          <t>광산</t>
        </is>
      </c>
      <c r="F113" s="4" t="inlineStr">
        <is>
          <t>AUD</t>
        </is>
      </c>
      <c r="G113" s="4" t="inlineStr">
        <is>
          <t>D</t>
        </is>
      </c>
      <c r="H113" s="4" t="inlineStr">
        <is>
          <t>PX_LAST</t>
        </is>
      </c>
      <c r="I113" s="4" t="inlineStr">
        <is>
          <t>2015-01-01</t>
        </is>
      </c>
      <c r="J113" s="4" t="inlineStr">
        <is>
          <t>확정(2026-09-10 검증)</t>
        </is>
      </c>
      <c r="K113" s="5" t="inlineStr"/>
      <c r="L113" s="4">
        <f>BDP($A113,"NAME")</f>
        <v/>
      </c>
      <c r="M113" s="4">
        <f>BDP($A113,"PX_LAST")</f>
        <v/>
      </c>
      <c r="N113" s="4">
        <f>BDP($A113,"LAST_UPDATE_DT")</f>
        <v/>
      </c>
    </row>
    <row r="114">
      <c r="A114" s="4" t="inlineStr">
        <is>
          <t>RIO AU Equity</t>
        </is>
      </c>
      <c r="B114" s="4" t="inlineStr">
        <is>
          <t>RIO</t>
        </is>
      </c>
      <c r="C114" s="4" t="inlineStr">
        <is>
          <t>Rio Tinto</t>
        </is>
      </c>
      <c r="D114" s="4" t="inlineStr">
        <is>
          <t>기업</t>
        </is>
      </c>
      <c r="E114" s="4" t="inlineStr">
        <is>
          <t>광산</t>
        </is>
      </c>
      <c r="F114" s="4" t="inlineStr">
        <is>
          <t>AUD</t>
        </is>
      </c>
      <c r="G114" s="4" t="inlineStr">
        <is>
          <t>D</t>
        </is>
      </c>
      <c r="H114" s="4" t="inlineStr">
        <is>
          <t>PX_LAST</t>
        </is>
      </c>
      <c r="I114" s="4" t="inlineStr">
        <is>
          <t>2015-01-01</t>
        </is>
      </c>
      <c r="J114" s="4" t="inlineStr">
        <is>
          <t>확정(2026-09-10 검증)</t>
        </is>
      </c>
      <c r="K114" s="5" t="inlineStr"/>
      <c r="L114" s="4">
        <f>BDP($A114,"NAME")</f>
        <v/>
      </c>
      <c r="M114" s="4">
        <f>BDP($A114,"PX_LAST")</f>
        <v/>
      </c>
      <c r="N114" s="4">
        <f>BDP($A114,"LAST_UPDATE_DT")</f>
        <v/>
      </c>
    </row>
    <row r="115">
      <c r="A115" s="4" t="inlineStr">
        <is>
          <t>005490 KS Equity</t>
        </is>
      </c>
      <c r="B115" s="4" t="inlineStr">
        <is>
          <t>POSCO</t>
        </is>
      </c>
      <c r="C115" s="4" t="inlineStr">
        <is>
          <t>POSCO홀딩스</t>
        </is>
      </c>
      <c r="D115" s="4" t="inlineStr">
        <is>
          <t>기업</t>
        </is>
      </c>
      <c r="E115" s="4" t="inlineStr">
        <is>
          <t>철강</t>
        </is>
      </c>
      <c r="F115" s="4" t="inlineStr">
        <is>
          <t>KRW</t>
        </is>
      </c>
      <c r="G115" s="4" t="inlineStr">
        <is>
          <t>D</t>
        </is>
      </c>
      <c r="H115" s="4" t="inlineStr">
        <is>
          <t>PX_LAST</t>
        </is>
      </c>
      <c r="I115" s="4" t="inlineStr">
        <is>
          <t>2015-01-01</t>
        </is>
      </c>
      <c r="J115" s="4" t="inlineStr">
        <is>
          <t>확정(2026-09-10 검증)</t>
        </is>
      </c>
      <c r="K115" s="5" t="inlineStr"/>
      <c r="L115" s="4">
        <f>BDP($A115,"NAME")</f>
        <v/>
      </c>
      <c r="M115" s="4">
        <f>BDP($A115,"PX_LAST")</f>
        <v/>
      </c>
      <c r="N115" s="4">
        <f>BDP($A115,"LAST_UPDATE_DT")</f>
        <v/>
      </c>
    </row>
    <row r="116">
      <c r="A116" s="4" t="inlineStr">
        <is>
          <t>WMT US Equity</t>
        </is>
      </c>
      <c r="B116" s="4" t="inlineStr">
        <is>
          <t>WMT</t>
        </is>
      </c>
      <c r="C116" s="4" t="inlineStr">
        <is>
          <t>Walmart</t>
        </is>
      </c>
      <c r="D116" s="4" t="inlineStr">
        <is>
          <t>기업</t>
        </is>
      </c>
      <c r="E116" s="4" t="inlineStr">
        <is>
          <t>수입 소매</t>
        </is>
      </c>
      <c r="F116" s="4" t="inlineStr">
        <is>
          <t>USD</t>
        </is>
      </c>
      <c r="G116" s="4" t="inlineStr">
        <is>
          <t>D</t>
        </is>
      </c>
      <c r="H116" s="4" t="inlineStr">
        <is>
          <t>PX_LAST</t>
        </is>
      </c>
      <c r="I116" s="4" t="inlineStr">
        <is>
          <t>2015-01-01</t>
        </is>
      </c>
      <c r="J116" s="4" t="inlineStr">
        <is>
          <t>확정(2026-09-10 검증)</t>
        </is>
      </c>
      <c r="K116" s="5" t="inlineStr"/>
      <c r="L116" s="4">
        <f>BDP($A116,"NAME")</f>
        <v/>
      </c>
      <c r="M116" s="4">
        <f>BDP($A116,"PX_LAST")</f>
        <v/>
      </c>
      <c r="N116" s="4">
        <f>BDP($A116,"LAST_UPDATE_DT")</f>
        <v/>
      </c>
    </row>
    <row r="117">
      <c r="A117" s="4" t="inlineStr">
        <is>
          <t>TGT US Equity</t>
        </is>
      </c>
      <c r="B117" s="4" t="inlineStr">
        <is>
          <t>TGT</t>
        </is>
      </c>
      <c r="C117" s="4" t="inlineStr">
        <is>
          <t>Target</t>
        </is>
      </c>
      <c r="D117" s="4" t="inlineStr">
        <is>
          <t>기업</t>
        </is>
      </c>
      <c r="E117" s="4" t="inlineStr">
        <is>
          <t>수입 소매</t>
        </is>
      </c>
      <c r="F117" s="4" t="inlineStr">
        <is>
          <t>USD</t>
        </is>
      </c>
      <c r="G117" s="4" t="inlineStr">
        <is>
          <t>D</t>
        </is>
      </c>
      <c r="H117" s="4" t="inlineStr">
        <is>
          <t>PX_LAST</t>
        </is>
      </c>
      <c r="I117" s="4" t="inlineStr">
        <is>
          <t>2015-01-01</t>
        </is>
      </c>
      <c r="J117" s="4" t="inlineStr">
        <is>
          <t>확정(2026-09-10 검증)</t>
        </is>
      </c>
      <c r="K117" s="5" t="inlineStr"/>
      <c r="L117" s="4">
        <f>BDP($A117,"NAME")</f>
        <v/>
      </c>
      <c r="M117" s="4">
        <f>BDP($A117,"PX_LAST")</f>
        <v/>
      </c>
      <c r="N117" s="4">
        <f>BDP($A117,"LAST_UPDATE_DT")</f>
        <v/>
      </c>
    </row>
    <row r="118">
      <c r="A118" s="4" t="inlineStr">
        <is>
          <t>AMZN US Equity</t>
        </is>
      </c>
      <c r="B118" s="4" t="inlineStr">
        <is>
          <t>AMZN</t>
        </is>
      </c>
      <c r="C118" s="4" t="inlineStr">
        <is>
          <t>Amazon</t>
        </is>
      </c>
      <c r="D118" s="4" t="inlineStr">
        <is>
          <t>기업</t>
        </is>
      </c>
      <c r="E118" s="4" t="inlineStr">
        <is>
          <t>수입 소매</t>
        </is>
      </c>
      <c r="F118" s="4" t="inlineStr">
        <is>
          <t>USD</t>
        </is>
      </c>
      <c r="G118" s="4" t="inlineStr">
        <is>
          <t>D</t>
        </is>
      </c>
      <c r="H118" s="4" t="inlineStr">
        <is>
          <t>PX_LAST</t>
        </is>
      </c>
      <c r="I118" s="4" t="inlineStr">
        <is>
          <t>2015-01-01</t>
        </is>
      </c>
      <c r="J118" s="4" t="inlineStr">
        <is>
          <t>확정(2026-09-10 검증)</t>
        </is>
      </c>
      <c r="K118" s="5" t="inlineStr"/>
      <c r="L118" s="4">
        <f>BDP($A118,"NAME")</f>
        <v/>
      </c>
      <c r="M118" s="4">
        <f>BDP($A118,"PX_LAST")</f>
        <v/>
      </c>
      <c r="N118" s="4">
        <f>BDP($A118,"LAST_UPDATE_DT")</f>
        <v/>
      </c>
    </row>
    <row r="119">
      <c r="A119" s="4" t="inlineStr">
        <is>
          <t>TRVSDCVW Index</t>
        </is>
      </c>
      <c r="B119" s="4" t="inlineStr">
        <is>
          <t>SAIL_CN_US</t>
        </is>
      </c>
      <c r="C119" s="4" t="inlineStr">
        <is>
          <t>세일링 TEU 중국→미국</t>
        </is>
      </c>
      <c r="D119" s="4" t="inlineStr">
        <is>
          <t>수요</t>
        </is>
      </c>
      <c r="E119" s="4" t="inlineStr">
        <is>
          <t>세일링 TEU</t>
        </is>
      </c>
      <c r="F119" s="4" t="inlineStr">
        <is>
          <t>TEU</t>
        </is>
      </c>
      <c r="G119" s="4" t="inlineStr">
        <is>
          <t>D</t>
        </is>
      </c>
      <c r="H119" s="4" t="inlineStr">
        <is>
          <t>PX_LAST</t>
        </is>
      </c>
      <c r="I119" s="4" t="inlineStr">
        <is>
          <t>2018-01-01</t>
        </is>
      </c>
      <c r="J119" s="4" t="inlineStr">
        <is>
          <t>확정(2026-09-10 검증)</t>
        </is>
      </c>
      <c r="K119" s="5" t="inlineStr">
        <is>
          <t>15일 이동합. 관세 front-loading 핵심 지표</t>
        </is>
      </c>
      <c r="L119" s="4">
        <f>BDP($A119,"NAME")</f>
        <v/>
      </c>
      <c r="M119" s="4">
        <f>BDP($A119,"PX_LAST")</f>
        <v/>
      </c>
      <c r="N119" s="4">
        <f>BDP($A119,"LAST_UPDATE_DT")</f>
        <v/>
      </c>
    </row>
    <row r="120">
      <c r="A120" s="4" t="inlineStr">
        <is>
          <t>TRVSKRVW Index</t>
        </is>
      </c>
      <c r="B120" s="4" t="inlineStr">
        <is>
          <t>SAIL_KR_US</t>
        </is>
      </c>
      <c r="C120" s="4" t="inlineStr">
        <is>
          <t>세일링 TEU 한국→미국</t>
        </is>
      </c>
      <c r="D120" s="4" t="inlineStr">
        <is>
          <t>수요</t>
        </is>
      </c>
      <c r="E120" s="4" t="inlineStr">
        <is>
          <t>세일링 TEU</t>
        </is>
      </c>
      <c r="F120" s="4" t="inlineStr">
        <is>
          <t>TEU</t>
        </is>
      </c>
      <c r="G120" s="4" t="inlineStr">
        <is>
          <t>D</t>
        </is>
      </c>
      <c r="H120" s="4" t="inlineStr">
        <is>
          <t>PX_LAST</t>
        </is>
      </c>
      <c r="I120" s="4" t="inlineStr">
        <is>
          <t>2018-01-01</t>
        </is>
      </c>
      <c r="J120" s="4" t="inlineStr">
        <is>
          <t>확정(2026-09-10 검증)</t>
        </is>
      </c>
      <c r="K120" s="5" t="inlineStr">
        <is>
          <t>국내 수출 물동량 직접</t>
        </is>
      </c>
      <c r="L120" s="4">
        <f>BDP($A120,"NAME")</f>
        <v/>
      </c>
      <c r="M120" s="4">
        <f>BDP($A120,"PX_LAST")</f>
        <v/>
      </c>
      <c r="N120" s="4">
        <f>BDP($A120,"LAST_UPDATE_DT")</f>
        <v/>
      </c>
    </row>
    <row r="121">
      <c r="A121" s="4" t="inlineStr">
        <is>
          <t>TRVSVNVW Index</t>
        </is>
      </c>
      <c r="B121" s="4" t="inlineStr">
        <is>
          <t>SAIL_VN_US</t>
        </is>
      </c>
      <c r="C121" s="4" t="inlineStr">
        <is>
          <t>세일링 TEU 베트남→미국</t>
        </is>
      </c>
      <c r="D121" s="4" t="inlineStr">
        <is>
          <t>수요</t>
        </is>
      </c>
      <c r="E121" s="4" t="inlineStr">
        <is>
          <t>세일링 TEU</t>
        </is>
      </c>
      <c r="F121" s="4" t="inlineStr">
        <is>
          <t>TEU</t>
        </is>
      </c>
      <c r="G121" s="4" t="inlineStr">
        <is>
          <t>D</t>
        </is>
      </c>
      <c r="H121" s="4" t="inlineStr">
        <is>
          <t>PX_LAST</t>
        </is>
      </c>
      <c r="I121" s="4" t="inlineStr">
        <is>
          <t>2018-01-01</t>
        </is>
      </c>
      <c r="J121" s="4" t="inlineStr">
        <is>
          <t>확정(2026-09-10 검증)</t>
        </is>
      </c>
      <c r="K121" s="5" t="inlineStr">
        <is>
          <t>China+1 공급망 재편</t>
        </is>
      </c>
      <c r="L121" s="4">
        <f>BDP($A121,"NAME")</f>
        <v/>
      </c>
      <c r="M121" s="4">
        <f>BDP($A121,"PX_LAST")</f>
        <v/>
      </c>
      <c r="N121" s="4">
        <f>BDP($A121,"LAST_UPDATE_DT")</f>
        <v/>
      </c>
    </row>
    <row r="122">
      <c r="A122" s="4" t="inlineStr">
        <is>
          <t>TRVSTWVW Index</t>
        </is>
      </c>
      <c r="B122" s="4" t="inlineStr">
        <is>
          <t>SAIL_TW_US</t>
        </is>
      </c>
      <c r="C122" s="4" t="inlineStr">
        <is>
          <t>세일링 TEU 대만→미국</t>
        </is>
      </c>
      <c r="D122" s="4" t="inlineStr">
        <is>
          <t>수요</t>
        </is>
      </c>
      <c r="E122" s="4" t="inlineStr">
        <is>
          <t>세일링 TEU</t>
        </is>
      </c>
      <c r="F122" s="4" t="inlineStr">
        <is>
          <t>TEU</t>
        </is>
      </c>
      <c r="G122" s="4" t="inlineStr">
        <is>
          <t>D</t>
        </is>
      </c>
      <c r="H122" s="4" t="inlineStr">
        <is>
          <t>PX_LAST</t>
        </is>
      </c>
      <c r="I122" s="4" t="inlineStr">
        <is>
          <t>2018-01-01</t>
        </is>
      </c>
      <c r="J122" s="4" t="inlineStr">
        <is>
          <t>확정(2026-09-10 검증)</t>
        </is>
      </c>
      <c r="K122" s="5" t="inlineStr"/>
      <c r="L122" s="4">
        <f>BDP($A122,"NAME")</f>
        <v/>
      </c>
      <c r="M122" s="4">
        <f>BDP($A122,"PX_LAST")</f>
        <v/>
      </c>
      <c r="N122" s="4">
        <f>BDP($A122,"LAST_UPDATE_DT")</f>
        <v/>
      </c>
    </row>
    <row r="123">
      <c r="A123" s="4" t="inlineStr">
        <is>
          <t>TRINUSVW Index</t>
        </is>
      </c>
      <c r="B123" s="4" t="inlineStr">
        <is>
          <t>SAIL_IN_US</t>
        </is>
      </c>
      <c r="C123" s="4" t="inlineStr">
        <is>
          <t>세일링 TEU 인도→미국</t>
        </is>
      </c>
      <c r="D123" s="4" t="inlineStr">
        <is>
          <t>수요</t>
        </is>
      </c>
      <c r="E123" s="4" t="inlineStr">
        <is>
          <t>세일링 TEU</t>
        </is>
      </c>
      <c r="F123" s="4" t="inlineStr">
        <is>
          <t>TEU</t>
        </is>
      </c>
      <c r="G123" s="4" t="inlineStr">
        <is>
          <t>D</t>
        </is>
      </c>
      <c r="H123" s="4" t="inlineStr">
        <is>
          <t>PX_LAST</t>
        </is>
      </c>
      <c r="I123" s="4" t="inlineStr">
        <is>
          <t>2018-01-01</t>
        </is>
      </c>
      <c r="J123" s="4" t="inlineStr">
        <is>
          <t>확정(2026-09-10 검증)</t>
        </is>
      </c>
      <c r="K123" s="5" t="inlineStr"/>
      <c r="L123" s="4">
        <f>BDP($A123,"NAME")</f>
        <v/>
      </c>
      <c r="M123" s="4">
        <f>BDP($A123,"PX_LAST")</f>
        <v/>
      </c>
      <c r="N123" s="4">
        <f>BDP($A123,"LAST_UPDATE_DT")</f>
        <v/>
      </c>
    </row>
    <row r="124">
      <c r="A124" s="4" t="inlineStr">
        <is>
          <t>TRTHUSVW Index</t>
        </is>
      </c>
      <c r="B124" s="4" t="inlineStr">
        <is>
          <t>SAIL_TH_US</t>
        </is>
      </c>
      <c r="C124" s="4" t="inlineStr">
        <is>
          <t>세일링 TEU 태국→미국</t>
        </is>
      </c>
      <c r="D124" s="4" t="inlineStr">
        <is>
          <t>수요</t>
        </is>
      </c>
      <c r="E124" s="4" t="inlineStr">
        <is>
          <t>세일링 TEU</t>
        </is>
      </c>
      <c r="F124" s="4" t="inlineStr">
        <is>
          <t>TEU</t>
        </is>
      </c>
      <c r="G124" s="4" t="inlineStr">
        <is>
          <t>D</t>
        </is>
      </c>
      <c r="H124" s="4" t="inlineStr">
        <is>
          <t>PX_LAST</t>
        </is>
      </c>
      <c r="I124" s="4" t="inlineStr">
        <is>
          <t>2018-01-01</t>
        </is>
      </c>
      <c r="J124" s="4" t="inlineStr">
        <is>
          <t>확정(2026-09-10 검증)</t>
        </is>
      </c>
      <c r="K124" s="5" t="inlineStr"/>
      <c r="L124" s="4">
        <f>BDP($A124,"NAME")</f>
        <v/>
      </c>
      <c r="M124" s="4">
        <f>BDP($A124,"PX_LAST")</f>
        <v/>
      </c>
      <c r="N124" s="4">
        <f>BDP($A124,"LAST_UPDATE_DT")</f>
        <v/>
      </c>
    </row>
    <row r="125">
      <c r="A125" s="4" t="inlineStr">
        <is>
          <t>TRMXUSVW Index</t>
        </is>
      </c>
      <c r="B125" s="4" t="inlineStr">
        <is>
          <t>SAIL_MX_US</t>
        </is>
      </c>
      <c r="C125" s="4" t="inlineStr">
        <is>
          <t>세일링 TEU 멕시코→미국</t>
        </is>
      </c>
      <c r="D125" s="4" t="inlineStr">
        <is>
          <t>수요</t>
        </is>
      </c>
      <c r="E125" s="4" t="inlineStr">
        <is>
          <t>세일링 TEU</t>
        </is>
      </c>
      <c r="F125" s="4" t="inlineStr">
        <is>
          <t>TEU</t>
        </is>
      </c>
      <c r="G125" s="4" t="inlineStr">
        <is>
          <t>D</t>
        </is>
      </c>
      <c r="H125" s="4" t="inlineStr">
        <is>
          <t>PX_LAST</t>
        </is>
      </c>
      <c r="I125" s="4" t="inlineStr">
        <is>
          <t>2018-01-01</t>
        </is>
      </c>
      <c r="J125" s="4" t="inlineStr">
        <is>
          <t>확정(2026-09-10 검증)</t>
        </is>
      </c>
      <c r="K125" s="5" t="inlineStr">
        <is>
          <t>니어쇼어링</t>
        </is>
      </c>
      <c r="L125" s="4">
        <f>BDP($A125,"NAME")</f>
        <v/>
      </c>
      <c r="M125" s="4">
        <f>BDP($A125,"PX_LAST")</f>
        <v/>
      </c>
      <c r="N125" s="4">
        <f>BDP($A125,"LAST_UPDATE_DT")</f>
        <v/>
      </c>
    </row>
    <row r="126">
      <c r="A126" s="4" t="inlineStr">
        <is>
          <t>TRVSDEVW Index</t>
        </is>
      </c>
      <c r="B126" s="4" t="inlineStr">
        <is>
          <t>SAIL_DE_US</t>
        </is>
      </c>
      <c r="C126" s="4" t="inlineStr">
        <is>
          <t>세일링 TEU 독일→미국</t>
        </is>
      </c>
      <c r="D126" s="4" t="inlineStr">
        <is>
          <t>수요</t>
        </is>
      </c>
      <c r="E126" s="4" t="inlineStr">
        <is>
          <t>세일링 TEU</t>
        </is>
      </c>
      <c r="F126" s="4" t="inlineStr">
        <is>
          <t>TEU</t>
        </is>
      </c>
      <c r="G126" s="4" t="inlineStr">
        <is>
          <t>D</t>
        </is>
      </c>
      <c r="H126" s="4" t="inlineStr">
        <is>
          <t>PX_LAST</t>
        </is>
      </c>
      <c r="I126" s="4" t="inlineStr">
        <is>
          <t>2018-01-01</t>
        </is>
      </c>
      <c r="J126" s="4" t="inlineStr">
        <is>
          <t>확정(2026-09-10 검증)</t>
        </is>
      </c>
      <c r="K126" s="5" t="inlineStr"/>
      <c r="L126" s="4">
        <f>BDP($A126,"NAME")</f>
        <v/>
      </c>
      <c r="M126" s="4">
        <f>BDP($A126,"PX_LAST")</f>
        <v/>
      </c>
      <c r="N126" s="4">
        <f>BDP($A126,"LAST_UPDATE_DT")</f>
        <v/>
      </c>
    </row>
    <row r="127">
      <c r="A127" s="4" t="inlineStr">
        <is>
          <t>TRUSCNVW Index</t>
        </is>
      </c>
      <c r="B127" s="4" t="inlineStr">
        <is>
          <t>SAIL_US_CN</t>
        </is>
      </c>
      <c r="C127" s="4" t="inlineStr">
        <is>
          <t>세일링 TEU 미국→중국</t>
        </is>
      </c>
      <c r="D127" s="4" t="inlineStr">
        <is>
          <t>수요</t>
        </is>
      </c>
      <c r="E127" s="4" t="inlineStr">
        <is>
          <t>세일링 TEU</t>
        </is>
      </c>
      <c r="F127" s="4" t="inlineStr">
        <is>
          <t>TEU</t>
        </is>
      </c>
      <c r="G127" s="4" t="inlineStr">
        <is>
          <t>D</t>
        </is>
      </c>
      <c r="H127" s="4" t="inlineStr">
        <is>
          <t>PX_LAST</t>
        </is>
      </c>
      <c r="I127" s="4" t="inlineStr">
        <is>
          <t>2018-01-01</t>
        </is>
      </c>
      <c r="J127" s="4" t="inlineStr">
        <is>
          <t>확정(2026-09-10 검증)</t>
        </is>
      </c>
      <c r="K127" s="5" t="inlineStr">
        <is>
          <t>미 수출(곡물·에너지 제외 컨테이너)</t>
        </is>
      </c>
      <c r="L127" s="4">
        <f>BDP($A127,"NAME")</f>
        <v/>
      </c>
      <c r="M127" s="4">
        <f>BDP($A127,"PX_LAST")</f>
        <v/>
      </c>
      <c r="N127" s="4">
        <f>BDP($A127,"LAST_UPDATE_DT")</f>
        <v/>
      </c>
    </row>
    <row r="128">
      <c r="A128" s="4" t="inlineStr">
        <is>
          <t>TRUSKRVW Index</t>
        </is>
      </c>
      <c r="B128" s="4" t="inlineStr">
        <is>
          <t>SAIL_US_KR</t>
        </is>
      </c>
      <c r="C128" s="4" t="inlineStr">
        <is>
          <t>세일링 TEU 미국→한국</t>
        </is>
      </c>
      <c r="D128" s="4" t="inlineStr">
        <is>
          <t>수요</t>
        </is>
      </c>
      <c r="E128" s="4" t="inlineStr">
        <is>
          <t>세일링 TEU</t>
        </is>
      </c>
      <c r="F128" s="4" t="inlineStr">
        <is>
          <t>TEU</t>
        </is>
      </c>
      <c r="G128" s="4" t="inlineStr">
        <is>
          <t>D</t>
        </is>
      </c>
      <c r="H128" s="4" t="inlineStr">
        <is>
          <t>PX_LAST</t>
        </is>
      </c>
      <c r="I128" s="4" t="inlineStr">
        <is>
          <t>2018-01-01</t>
        </is>
      </c>
      <c r="J128" s="4" t="inlineStr">
        <is>
          <t>확정(2026-09-10 검증)</t>
        </is>
      </c>
      <c r="K128" s="5" t="inlineStr"/>
      <c r="L128" s="4">
        <f>BDP($A128,"NAME")</f>
        <v/>
      </c>
      <c r="M128" s="4">
        <f>BDP($A128,"PX_LAST")</f>
        <v/>
      </c>
      <c r="N128" s="4">
        <f>BDP($A128,"LAST_UPDATE_DT")</f>
        <v/>
      </c>
    </row>
    <row r="129">
      <c r="A129" s="4" t="inlineStr">
        <is>
          <t>TRUSJPVW Index</t>
        </is>
      </c>
      <c r="B129" s="4" t="inlineStr">
        <is>
          <t>SAIL_US_JP</t>
        </is>
      </c>
      <c r="C129" s="4" t="inlineStr">
        <is>
          <t>세일링 TEU 미국→일본</t>
        </is>
      </c>
      <c r="D129" s="4" t="inlineStr">
        <is>
          <t>수요</t>
        </is>
      </c>
      <c r="E129" s="4" t="inlineStr">
        <is>
          <t>세일링 TEU</t>
        </is>
      </c>
      <c r="F129" s="4" t="inlineStr">
        <is>
          <t>TEU</t>
        </is>
      </c>
      <c r="G129" s="4" t="inlineStr">
        <is>
          <t>D</t>
        </is>
      </c>
      <c r="H129" s="4" t="inlineStr">
        <is>
          <t>PX_LAST</t>
        </is>
      </c>
      <c r="I129" s="4" t="inlineStr">
        <is>
          <t>2018-01-01</t>
        </is>
      </c>
      <c r="J129" s="4" t="inlineStr">
        <is>
          <t>확정(2026-09-10 검증)</t>
        </is>
      </c>
      <c r="K129" s="5" t="inlineStr"/>
      <c r="L129" s="4">
        <f>BDP($A129,"NAME")</f>
        <v/>
      </c>
      <c r="M129" s="4">
        <f>BDP($A129,"PX_LAST")</f>
        <v/>
      </c>
      <c r="N129" s="4">
        <f>BDP($A129,"LAST_UPDATE_DT")</f>
        <v/>
      </c>
    </row>
    <row r="130">
      <c r="A130" s="4" t="inlineStr">
        <is>
          <t>TRUSTWVW Index</t>
        </is>
      </c>
      <c r="B130" s="4" t="inlineStr">
        <is>
          <t>SAIL_US_TW</t>
        </is>
      </c>
      <c r="C130" s="4" t="inlineStr">
        <is>
          <t>세일링 TEU 미국→대만</t>
        </is>
      </c>
      <c r="D130" s="4" t="inlineStr">
        <is>
          <t>수요</t>
        </is>
      </c>
      <c r="E130" s="4" t="inlineStr">
        <is>
          <t>세일링 TEU</t>
        </is>
      </c>
      <c r="F130" s="4" t="inlineStr">
        <is>
          <t>TEU</t>
        </is>
      </c>
      <c r="G130" s="4" t="inlineStr">
        <is>
          <t>D</t>
        </is>
      </c>
      <c r="H130" s="4" t="inlineStr">
        <is>
          <t>PX_LAST</t>
        </is>
      </c>
      <c r="I130" s="4" t="inlineStr">
        <is>
          <t>2018-01-01</t>
        </is>
      </c>
      <c r="J130" s="4" t="inlineStr">
        <is>
          <t>확정(2026-09-10 검증)</t>
        </is>
      </c>
      <c r="K130" s="5" t="inlineStr"/>
      <c r="L130" s="4">
        <f>BDP($A130,"NAME")</f>
        <v/>
      </c>
      <c r="M130" s="4">
        <f>BDP($A130,"PX_LAST")</f>
        <v/>
      </c>
      <c r="N130" s="4">
        <f>BDP($A130,"LAST_UPDATE_DT")</f>
        <v/>
      </c>
    </row>
    <row r="131">
      <c r="A131" s="4" t="inlineStr">
        <is>
          <t>TRUSBRVW Index</t>
        </is>
      </c>
      <c r="B131" s="4" t="inlineStr">
        <is>
          <t>SAIL_US_BR</t>
        </is>
      </c>
      <c r="C131" s="4" t="inlineStr">
        <is>
          <t>세일링 TEU 미국→브라질</t>
        </is>
      </c>
      <c r="D131" s="4" t="inlineStr">
        <is>
          <t>수요</t>
        </is>
      </c>
      <c r="E131" s="4" t="inlineStr">
        <is>
          <t>세일링 TEU</t>
        </is>
      </c>
      <c r="F131" s="4" t="inlineStr">
        <is>
          <t>TEU</t>
        </is>
      </c>
      <c r="G131" s="4" t="inlineStr">
        <is>
          <t>D</t>
        </is>
      </c>
      <c r="H131" s="4" t="inlineStr">
        <is>
          <t>PX_LAST</t>
        </is>
      </c>
      <c r="I131" s="4" t="inlineStr">
        <is>
          <t>2018-01-01</t>
        </is>
      </c>
      <c r="J131" s="4" t="inlineStr">
        <is>
          <t>확정(2026-09-10 검증)</t>
        </is>
      </c>
      <c r="K131" s="5" t="inlineStr"/>
      <c r="L131" s="4">
        <f>BDP($A131,"NAME")</f>
        <v/>
      </c>
      <c r="M131" s="4">
        <f>BDP($A131,"PX_LAST")</f>
        <v/>
      </c>
      <c r="N131" s="4">
        <f>BDP($A131,"LAST_UPDATE_DT")</f>
        <v/>
      </c>
    </row>
    <row r="132">
      <c r="A132" s="4" t="inlineStr">
        <is>
          <t>TRCNKRVW Index</t>
        </is>
      </c>
      <c r="B132" s="4" t="inlineStr">
        <is>
          <t>SAIL_CN_KR</t>
        </is>
      </c>
      <c r="C132" s="4" t="inlineStr">
        <is>
          <t>세일링 TEU 중국→한국</t>
        </is>
      </c>
      <c r="D132" s="4" t="inlineStr">
        <is>
          <t>수요</t>
        </is>
      </c>
      <c r="E132" s="4" t="inlineStr">
        <is>
          <t>세일링 TEU</t>
        </is>
      </c>
      <c r="F132" s="4" t="inlineStr">
        <is>
          <t>TEU</t>
        </is>
      </c>
      <c r="G132" s="4" t="inlineStr">
        <is>
          <t>D</t>
        </is>
      </c>
      <c r="H132" s="4" t="inlineStr">
        <is>
          <t>PX_LAST</t>
        </is>
      </c>
      <c r="I132" s="4" t="inlineStr">
        <is>
          <t>2018-01-01</t>
        </is>
      </c>
      <c r="J132" s="4" t="inlineStr">
        <is>
          <t>확정(2026-09-10 검증)</t>
        </is>
      </c>
      <c r="K132" s="5" t="inlineStr">
        <is>
          <t>한중 근해. KCI(KCCI 중국항로) 대응</t>
        </is>
      </c>
      <c r="L132" s="4">
        <f>BDP($A132,"NAME")</f>
        <v/>
      </c>
      <c r="M132" s="4">
        <f>BDP($A132,"PX_LAST")</f>
        <v/>
      </c>
      <c r="N132" s="4">
        <f>BDP($A132,"LAST_UPDATE_DT")</f>
        <v/>
      </c>
    </row>
    <row r="133">
      <c r="A133" s="4" t="inlineStr">
        <is>
          <t>TRCNJPVW Index</t>
        </is>
      </c>
      <c r="B133" s="4" t="inlineStr">
        <is>
          <t>SAIL_CN_JP</t>
        </is>
      </c>
      <c r="C133" s="4" t="inlineStr">
        <is>
          <t>세일링 TEU 중국→일본</t>
        </is>
      </c>
      <c r="D133" s="4" t="inlineStr">
        <is>
          <t>수요</t>
        </is>
      </c>
      <c r="E133" s="4" t="inlineStr">
        <is>
          <t>세일링 TEU</t>
        </is>
      </c>
      <c r="F133" s="4" t="inlineStr">
        <is>
          <t>TEU</t>
        </is>
      </c>
      <c r="G133" s="4" t="inlineStr">
        <is>
          <t>D</t>
        </is>
      </c>
      <c r="H133" s="4" t="inlineStr">
        <is>
          <t>PX_LAST</t>
        </is>
      </c>
      <c r="I133" s="4" t="inlineStr">
        <is>
          <t>2018-01-01</t>
        </is>
      </c>
      <c r="J133" s="4" t="inlineStr">
        <is>
          <t>확정(2026-09-10 검증)</t>
        </is>
      </c>
      <c r="K133" s="5" t="inlineStr"/>
      <c r="L133" s="4">
        <f>BDP($A133,"NAME")</f>
        <v/>
      </c>
      <c r="M133" s="4">
        <f>BDP($A133,"PX_LAST")</f>
        <v/>
      </c>
      <c r="N133" s="4">
        <f>BDP($A133,"LAST_UPDATE_DT")</f>
        <v/>
      </c>
    </row>
    <row r="134">
      <c r="A134" s="4" t="inlineStr">
        <is>
          <t>TRCNSGVW Index</t>
        </is>
      </c>
      <c r="B134" s="4" t="inlineStr">
        <is>
          <t>SAIL_CN_SG</t>
        </is>
      </c>
      <c r="C134" s="4" t="inlineStr">
        <is>
          <t>세일링 TEU 중국→싱가포르</t>
        </is>
      </c>
      <c r="D134" s="4" t="inlineStr">
        <is>
          <t>수요</t>
        </is>
      </c>
      <c r="E134" s="4" t="inlineStr">
        <is>
          <t>세일링 TEU</t>
        </is>
      </c>
      <c r="F134" s="4" t="inlineStr">
        <is>
          <t>TEU</t>
        </is>
      </c>
      <c r="G134" s="4" t="inlineStr">
        <is>
          <t>D</t>
        </is>
      </c>
      <c r="H134" s="4" t="inlineStr">
        <is>
          <t>PX_LAST</t>
        </is>
      </c>
      <c r="I134" s="4" t="inlineStr">
        <is>
          <t>2018-01-01</t>
        </is>
      </c>
      <c r="J134" s="4" t="inlineStr">
        <is>
          <t>확정(2026-09-10 검증)</t>
        </is>
      </c>
      <c r="K134" s="5" t="inlineStr">
        <is>
          <t>환적 경유 최대</t>
        </is>
      </c>
      <c r="L134" s="4">
        <f>BDP($A134,"NAME")</f>
        <v/>
      </c>
      <c r="M134" s="4">
        <f>BDP($A134,"PX_LAST")</f>
        <v/>
      </c>
      <c r="N134" s="4">
        <f>BDP($A134,"LAST_UPDATE_DT")</f>
        <v/>
      </c>
    </row>
    <row r="135">
      <c r="A135" s="4" t="inlineStr">
        <is>
          <t>TRCNVNVW Index</t>
        </is>
      </c>
      <c r="B135" s="4" t="inlineStr">
        <is>
          <t>SAIL_CN_VN</t>
        </is>
      </c>
      <c r="C135" s="4" t="inlineStr">
        <is>
          <t>세일링 TEU 중국→베트남</t>
        </is>
      </c>
      <c r="D135" s="4" t="inlineStr">
        <is>
          <t>수요</t>
        </is>
      </c>
      <c r="E135" s="4" t="inlineStr">
        <is>
          <t>세일링 TEU</t>
        </is>
      </c>
      <c r="F135" s="4" t="inlineStr">
        <is>
          <t>TEU</t>
        </is>
      </c>
      <c r="G135" s="4" t="inlineStr">
        <is>
          <t>D</t>
        </is>
      </c>
      <c r="H135" s="4" t="inlineStr">
        <is>
          <t>PX_LAST</t>
        </is>
      </c>
      <c r="I135" s="4" t="inlineStr">
        <is>
          <t>2018-01-01</t>
        </is>
      </c>
      <c r="J135" s="4" t="inlineStr">
        <is>
          <t>확정(2026-09-10 검증)</t>
        </is>
      </c>
      <c r="K135" s="5" t="inlineStr">
        <is>
          <t>우회수출 경로</t>
        </is>
      </c>
      <c r="L135" s="4">
        <f>BDP($A135,"NAME")</f>
        <v/>
      </c>
      <c r="M135" s="4">
        <f>BDP($A135,"PX_LAST")</f>
        <v/>
      </c>
      <c r="N135" s="4">
        <f>BDP($A135,"LAST_UPDATE_DT")</f>
        <v/>
      </c>
    </row>
    <row r="136">
      <c r="A136" s="4" t="inlineStr">
        <is>
          <t>TRCNGBVW Index</t>
        </is>
      </c>
      <c r="B136" s="4" t="inlineStr">
        <is>
          <t>SAIL_CN_GB</t>
        </is>
      </c>
      <c r="C136" s="4" t="inlineStr">
        <is>
          <t>세일링 TEU 중국→영국</t>
        </is>
      </c>
      <c r="D136" s="4" t="inlineStr">
        <is>
          <t>수요</t>
        </is>
      </c>
      <c r="E136" s="4" t="inlineStr">
        <is>
          <t>세일링 TEU</t>
        </is>
      </c>
      <c r="F136" s="4" t="inlineStr">
        <is>
          <t>TEU</t>
        </is>
      </c>
      <c r="G136" s="4" t="inlineStr">
        <is>
          <t>D</t>
        </is>
      </c>
      <c r="H136" s="4" t="inlineStr">
        <is>
          <t>PX_LAST</t>
        </is>
      </c>
      <c r="I136" s="4" t="inlineStr">
        <is>
          <t>2018-01-01</t>
        </is>
      </c>
      <c r="J136" s="4" t="inlineStr">
        <is>
          <t>확정(2026-09-10 검증)</t>
        </is>
      </c>
      <c r="K136" s="5" t="inlineStr">
        <is>
          <t>유럽 항로 물동량</t>
        </is>
      </c>
      <c r="L136" s="4">
        <f>BDP($A136,"NAME")</f>
        <v/>
      </c>
      <c r="M136" s="4">
        <f>BDP($A136,"PX_LAST")</f>
        <v/>
      </c>
      <c r="N136" s="4">
        <f>BDP($A136,"LAST_UPDATE_DT")</f>
        <v/>
      </c>
    </row>
    <row r="137">
      <c r="A137" s="4" t="inlineStr">
        <is>
          <t>TRCNNLVW Index</t>
        </is>
      </c>
      <c r="B137" s="4" t="inlineStr">
        <is>
          <t>SAIL_CN_NL</t>
        </is>
      </c>
      <c r="C137" s="4" t="inlineStr">
        <is>
          <t>세일링 TEU 중국→네덜란드</t>
        </is>
      </c>
      <c r="D137" s="4" t="inlineStr">
        <is>
          <t>수요</t>
        </is>
      </c>
      <c r="E137" s="4" t="inlineStr">
        <is>
          <t>세일링 TEU</t>
        </is>
      </c>
      <c r="F137" s="4" t="inlineStr">
        <is>
          <t>TEU</t>
        </is>
      </c>
      <c r="G137" s="4" t="inlineStr">
        <is>
          <t>D</t>
        </is>
      </c>
      <c r="H137" s="4" t="inlineStr">
        <is>
          <t>PX_LAST</t>
        </is>
      </c>
      <c r="I137" s="4" t="inlineStr">
        <is>
          <t>2018-01-01</t>
        </is>
      </c>
      <c r="J137" s="4" t="inlineStr">
        <is>
          <t>확정(2026-09-10 검증)</t>
        </is>
      </c>
      <c r="K137" s="5" t="inlineStr">
        <is>
          <t>로테르담</t>
        </is>
      </c>
      <c r="L137" s="4">
        <f>BDP($A137,"NAME")</f>
        <v/>
      </c>
      <c r="M137" s="4">
        <f>BDP($A137,"PX_LAST")</f>
        <v/>
      </c>
      <c r="N137" s="4">
        <f>BDP($A137,"LAST_UPDATE_DT")</f>
        <v/>
      </c>
    </row>
    <row r="138">
      <c r="A138" s="4" t="inlineStr">
        <is>
          <t>TRCNINVW Index</t>
        </is>
      </c>
      <c r="B138" s="4" t="inlineStr">
        <is>
          <t>SAIL_CN_IN</t>
        </is>
      </c>
      <c r="C138" s="4" t="inlineStr">
        <is>
          <t>세일링 TEU 중국→인도</t>
        </is>
      </c>
      <c r="D138" s="4" t="inlineStr">
        <is>
          <t>수요</t>
        </is>
      </c>
      <c r="E138" s="4" t="inlineStr">
        <is>
          <t>세일링 TEU</t>
        </is>
      </c>
      <c r="F138" s="4" t="inlineStr">
        <is>
          <t>TEU</t>
        </is>
      </c>
      <c r="G138" s="4" t="inlineStr">
        <is>
          <t>D</t>
        </is>
      </c>
      <c r="H138" s="4" t="inlineStr">
        <is>
          <t>PX_LAST</t>
        </is>
      </c>
      <c r="I138" s="4" t="inlineStr">
        <is>
          <t>2018-01-01</t>
        </is>
      </c>
      <c r="J138" s="4" t="inlineStr">
        <is>
          <t>확정(2026-09-10 검증)</t>
        </is>
      </c>
      <c r="K138" s="5" t="inlineStr"/>
      <c r="L138" s="4">
        <f>BDP($A138,"NAME")</f>
        <v/>
      </c>
      <c r="M138" s="4">
        <f>BDP($A138,"PX_LAST")</f>
        <v/>
      </c>
      <c r="N138" s="4">
        <f>BDP($A138,"LAST_UPDATE_DT")</f>
        <v/>
      </c>
    </row>
    <row r="139">
      <c r="A139" s="4" t="inlineStr">
        <is>
          <t>TRCNBRVW Index</t>
        </is>
      </c>
      <c r="B139" s="4" t="inlineStr">
        <is>
          <t>SAIL_CN_BR</t>
        </is>
      </c>
      <c r="C139" s="4" t="inlineStr">
        <is>
          <t>세일링 TEU 중국→브라질</t>
        </is>
      </c>
      <c r="D139" s="4" t="inlineStr">
        <is>
          <t>수요</t>
        </is>
      </c>
      <c r="E139" s="4" t="inlineStr">
        <is>
          <t>세일링 TEU</t>
        </is>
      </c>
      <c r="F139" s="4" t="inlineStr">
        <is>
          <t>TEU</t>
        </is>
      </c>
      <c r="G139" s="4" t="inlineStr">
        <is>
          <t>D</t>
        </is>
      </c>
      <c r="H139" s="4" t="inlineStr">
        <is>
          <t>PX_LAST</t>
        </is>
      </c>
      <c r="I139" s="4" t="inlineStr">
        <is>
          <t>2018-01-01</t>
        </is>
      </c>
      <c r="J139" s="4" t="inlineStr">
        <is>
          <t>확정(2026-09-10 검증)</t>
        </is>
      </c>
      <c r="K139" s="5" t="inlineStr">
        <is>
          <t>남미동안 항로</t>
        </is>
      </c>
      <c r="L139" s="4">
        <f>BDP($A139,"NAME")</f>
        <v/>
      </c>
      <c r="M139" s="4">
        <f>BDP($A139,"PX_LAST")</f>
        <v/>
      </c>
      <c r="N139" s="4">
        <f>BDP($A139,"LAST_UPDATE_DT")</f>
        <v/>
      </c>
    </row>
    <row r="140">
      <c r="A140" s="4" t="inlineStr">
        <is>
          <t>TRCNAUVW Index</t>
        </is>
      </c>
      <c r="B140" s="4" t="inlineStr">
        <is>
          <t>SAIL_CN_AU</t>
        </is>
      </c>
      <c r="C140" s="4" t="inlineStr">
        <is>
          <t>세일링 TEU 중국→호주</t>
        </is>
      </c>
      <c r="D140" s="4" t="inlineStr">
        <is>
          <t>수요</t>
        </is>
      </c>
      <c r="E140" s="4" t="inlineStr">
        <is>
          <t>세일링 TEU</t>
        </is>
      </c>
      <c r="F140" s="4" t="inlineStr">
        <is>
          <t>TEU</t>
        </is>
      </c>
      <c r="G140" s="4" t="inlineStr">
        <is>
          <t>D</t>
        </is>
      </c>
      <c r="H140" s="4" t="inlineStr">
        <is>
          <t>PX_LAST</t>
        </is>
      </c>
      <c r="I140" s="4" t="inlineStr">
        <is>
          <t>2018-01-01</t>
        </is>
      </c>
      <c r="J140" s="4" t="inlineStr">
        <is>
          <t>확정(2026-09-10 검증)</t>
        </is>
      </c>
      <c r="K140" s="5" t="inlineStr"/>
      <c r="L140" s="4">
        <f>BDP($A140,"NAME")</f>
        <v/>
      </c>
      <c r="M140" s="4">
        <f>BDP($A140,"PX_LAST")</f>
        <v/>
      </c>
      <c r="N140" s="4">
        <f>BDP($A140,"LAST_UPDATE_DT")</f>
        <v/>
      </c>
    </row>
    <row r="141">
      <c r="A141" s="4" t="inlineStr">
        <is>
          <t>TRVSDLVW Index</t>
        </is>
      </c>
      <c r="B141" s="4" t="inlineStr">
        <is>
          <t>SAILCAP_CN_US</t>
        </is>
      </c>
      <c r="C141" s="4" t="inlineStr">
        <is>
          <t>선복 이용률 중국→미국</t>
        </is>
      </c>
      <c r="D141" s="4" t="inlineStr">
        <is>
          <t>수요</t>
        </is>
      </c>
      <c r="E141" s="4" t="inlineStr">
        <is>
          <t>세일링 TEU</t>
        </is>
      </c>
      <c r="F141" s="4" t="inlineStr">
        <is>
          <t>비율</t>
        </is>
      </c>
      <c r="G141" s="4" t="inlineStr">
        <is>
          <t>D</t>
        </is>
      </c>
      <c r="H141" s="4" t="inlineStr">
        <is>
          <t>PX_LAST</t>
        </is>
      </c>
      <c r="I141" s="4" t="inlineStr">
        <is>
          <t>2018-01-01</t>
        </is>
      </c>
      <c r="J141" s="4" t="inlineStr">
        <is>
          <t>확정(2026-09-10 검증)</t>
        </is>
      </c>
      <c r="K141" s="5" t="inlineStr">
        <is>
          <t>1.0 = 만선. 낮아지면 수요 둔화</t>
        </is>
      </c>
      <c r="L141" s="4">
        <f>BDP($A141,"NAME")</f>
        <v/>
      </c>
      <c r="M141" s="4">
        <f>BDP($A141,"PX_LAST")</f>
        <v/>
      </c>
      <c r="N141" s="4">
        <f>BDP($A141,"LAST_UPDATE_DT")</f>
        <v/>
      </c>
    </row>
    <row r="142">
      <c r="A142" s="4" t="inlineStr">
        <is>
          <t>TRUSCNLW Index</t>
        </is>
      </c>
      <c r="B142" s="4" t="inlineStr">
        <is>
          <t>SAILCAP_US_CN</t>
        </is>
      </c>
      <c r="C142" s="4" t="inlineStr">
        <is>
          <t>선복 이용률 미국→중국</t>
        </is>
      </c>
      <c r="D142" s="4" t="inlineStr">
        <is>
          <t>수요</t>
        </is>
      </c>
      <c r="E142" s="4" t="inlineStr">
        <is>
          <t>세일링 TEU</t>
        </is>
      </c>
      <c r="F142" s="4" t="inlineStr">
        <is>
          <t>비율</t>
        </is>
      </c>
      <c r="G142" s="4" t="inlineStr">
        <is>
          <t>D</t>
        </is>
      </c>
      <c r="H142" s="4" t="inlineStr">
        <is>
          <t>PX_LAST</t>
        </is>
      </c>
      <c r="I142" s="4" t="inlineStr">
        <is>
          <t>2018-01-01</t>
        </is>
      </c>
      <c r="J142" s="4" t="inlineStr">
        <is>
          <t>확정(2026-09-10 검증)</t>
        </is>
      </c>
      <c r="K142" s="5" t="inlineStr"/>
      <c r="L142" s="4">
        <f>BDP($A142,"NAME")</f>
        <v/>
      </c>
      <c r="M142" s="4">
        <f>BDP($A142,"PX_LAST")</f>
        <v/>
      </c>
      <c r="N142" s="4">
        <f>BDP($A142,"LAST_UPDATE_DT")</f>
        <v/>
      </c>
    </row>
  </sheetData>
  <autoFilter ref="A1:N142"/>
  <dataValidations count="2">
    <dataValidation sqref="G2:G441" showDropDown="0" showInputMessage="0" showErrorMessage="0" allowBlank="0" type="list">
      <formula1>"D,W,M"</formula1>
    </dataValidation>
    <dataValidation sqref="D2:D441" showDropDown="0" showInputMessage="0" showErrorMessage="0" allowBlank="0" type="list">
      <formula1>"가격,수요,공급제약,비용,기후,시장반응,기업"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1" customWidth="1" min="3" max="3"/>
    <col width="13" customWidth="1" min="4" max="4"/>
    <col width="11" customWidth="1" min="5" max="5"/>
    <col width="13" customWidth="1" min="6" max="6"/>
    <col width="11" customWidth="1" min="7" max="7"/>
    <col width="13" customWidth="1" min="8" max="8"/>
    <col width="11" customWidth="1" min="9" max="9"/>
    <col width="13" customWidth="1" min="10" max="10"/>
    <col width="11" customWidth="1" min="11" max="11"/>
    <col width="13" customWidth="1" min="12" max="12"/>
    <col width="11" customWidth="1" min="13" max="13"/>
    <col width="13" customWidth="1" min="14" max="14"/>
    <col width="11" customWidth="1" min="15" max="15"/>
    <col width="13" customWidth="1" min="16" max="16"/>
    <col width="11" customWidth="1" min="17" max="17"/>
    <col width="13" customWidth="1" min="18" max="18"/>
    <col width="11" customWidth="1" min="19" max="19"/>
    <col width="13" customWidth="1" min="20" max="20"/>
    <col width="11" customWidth="1" min="21" max="21"/>
    <col width="13" customWidth="1" min="22" max="22"/>
    <col width="11" customWidth="1" min="23" max="23"/>
    <col width="13" customWidth="1" min="24" max="24"/>
    <col width="11" customWidth="1" min="25" max="25"/>
    <col width="13" customWidth="1" min="26" max="26"/>
    <col width="11" customWidth="1" min="27" max="27"/>
    <col width="13" customWidth="1" min="28" max="28"/>
    <col width="11" customWidth="1" min="29" max="29"/>
    <col width="13" customWidth="1" min="30" max="30"/>
    <col width="11" customWidth="1" min="31" max="31"/>
    <col width="13" customWidth="1" min="32" max="32"/>
    <col width="11" customWidth="1" min="33" max="33"/>
    <col width="13" customWidth="1" min="34" max="34"/>
    <col width="11" customWidth="1" min="35" max="35"/>
    <col width="13" customWidth="1" min="36" max="36"/>
    <col width="11" customWidth="1" min="37" max="37"/>
    <col width="13" customWidth="1" min="38" max="38"/>
    <col width="11" customWidth="1" min="39" max="39"/>
    <col width="13" customWidth="1" min="40" max="40"/>
    <col width="11" customWidth="1" min="41" max="41"/>
    <col width="13" customWidth="1" min="42" max="42"/>
    <col width="11" customWidth="1" min="43" max="43"/>
    <col width="13" customWidth="1" min="44" max="44"/>
    <col width="11" customWidth="1" min="45" max="45"/>
    <col width="13" customWidth="1" min="46" max="46"/>
    <col width="11" customWidth="1" min="47" max="47"/>
    <col width="13" customWidth="1" min="48" max="48"/>
    <col width="11" customWidth="1" min="49" max="49"/>
    <col width="13" customWidth="1" min="50" max="50"/>
    <col width="11" customWidth="1" min="51" max="51"/>
    <col width="13" customWidth="1" min="52" max="52"/>
    <col width="11" customWidth="1" min="53" max="53"/>
    <col width="13" customWidth="1" min="54" max="54"/>
    <col width="11" customWidth="1" min="55" max="55"/>
    <col width="13" customWidth="1" min="56" max="56"/>
    <col width="11" customWidth="1" min="57" max="57"/>
    <col width="13" customWidth="1" min="58" max="58"/>
    <col width="11" customWidth="1" min="59" max="59"/>
    <col width="13" customWidth="1" min="60" max="60"/>
    <col width="11" customWidth="1" min="61" max="61"/>
    <col width="13" customWidth="1" min="62" max="62"/>
    <col width="11" customWidth="1" min="63" max="63"/>
    <col width="13" customWidth="1" min="64" max="64"/>
    <col width="11" customWidth="1" min="65" max="65"/>
    <col width="13" customWidth="1" min="66" max="66"/>
    <col width="11" customWidth="1" min="67" max="67"/>
    <col width="13" customWidth="1" min="68" max="68"/>
    <col width="11" customWidth="1" min="69" max="69"/>
    <col width="13" customWidth="1" min="70" max="70"/>
    <col width="11" customWidth="1" min="71" max="71"/>
    <col width="13" customWidth="1" min="72" max="72"/>
    <col width="11" customWidth="1" min="73" max="73"/>
    <col width="13" customWidth="1" min="74" max="74"/>
    <col width="11" customWidth="1" min="75" max="75"/>
    <col width="13" customWidth="1" min="76" max="76"/>
    <col width="11" customWidth="1" min="77" max="77"/>
    <col width="13" customWidth="1" min="78" max="78"/>
    <col width="11" customWidth="1" min="79" max="79"/>
    <col width="13" customWidth="1" min="80" max="80"/>
    <col width="11" customWidth="1" min="81" max="81"/>
    <col width="13" customWidth="1" min="82" max="82"/>
    <col width="11" customWidth="1" min="83" max="83"/>
    <col width="13" customWidth="1" min="84" max="84"/>
    <col width="11" customWidth="1" min="85" max="85"/>
    <col width="13" customWidth="1" min="86" max="86"/>
    <col width="11" customWidth="1" min="87" max="87"/>
    <col width="13" customWidth="1" min="88" max="88"/>
    <col width="11" customWidth="1" min="89" max="89"/>
    <col width="13" customWidth="1" min="90" max="90"/>
    <col width="11" customWidth="1" min="91" max="91"/>
    <col width="13" customWidth="1" min="92" max="92"/>
    <col width="11" customWidth="1" min="93" max="93"/>
    <col width="13" customWidth="1" min="94" max="94"/>
    <col width="11" customWidth="1" min="95" max="95"/>
    <col width="13" customWidth="1" min="96" max="96"/>
    <col width="11" customWidth="1" min="97" max="97"/>
    <col width="13" customWidth="1" min="98" max="98"/>
    <col width="11" customWidth="1" min="99" max="99"/>
    <col width="13" customWidth="1" min="100" max="100"/>
    <col width="11" customWidth="1" min="101" max="101"/>
    <col width="13" customWidth="1" min="102" max="102"/>
    <col width="11" customWidth="1" min="103" max="103"/>
    <col width="13" customWidth="1" min="104" max="104"/>
    <col width="11" customWidth="1" min="105" max="105"/>
    <col width="13" customWidth="1" min="106" max="106"/>
    <col width="11" customWidth="1" min="107" max="107"/>
    <col width="13" customWidth="1" min="108" max="108"/>
    <col width="11" customWidth="1" min="109" max="109"/>
    <col width="13" customWidth="1" min="110" max="110"/>
    <col width="11" customWidth="1" min="111" max="111"/>
    <col width="13" customWidth="1" min="112" max="112"/>
    <col width="11" customWidth="1" min="113" max="113"/>
    <col width="13" customWidth="1" min="114" max="114"/>
    <col width="11" customWidth="1" min="115" max="115"/>
    <col width="13" customWidth="1" min="116" max="116"/>
    <col width="11" customWidth="1" min="117" max="117"/>
    <col width="13" customWidth="1" min="118" max="118"/>
    <col width="11" customWidth="1" min="119" max="119"/>
    <col width="13" customWidth="1" min="120" max="120"/>
    <col width="11" customWidth="1" min="121" max="121"/>
    <col width="13" customWidth="1" min="122" max="122"/>
    <col width="11" customWidth="1" min="123" max="123"/>
    <col width="13" customWidth="1" min="124" max="124"/>
    <col width="11" customWidth="1" min="125" max="125"/>
    <col width="13" customWidth="1" min="126" max="126"/>
    <col width="11" customWidth="1" min="127" max="127"/>
    <col width="13" customWidth="1" min="128" max="128"/>
    <col width="11" customWidth="1" min="129" max="129"/>
    <col width="13" customWidth="1" min="130" max="130"/>
    <col width="11" customWidth="1" min="131" max="131"/>
    <col width="13" customWidth="1" min="132" max="132"/>
    <col width="11" customWidth="1" min="133" max="133"/>
    <col width="13" customWidth="1" min="134" max="134"/>
    <col width="11" customWidth="1" min="135" max="135"/>
    <col width="13" customWidth="1" min="136" max="136"/>
    <col width="11" customWidth="1" min="137" max="137"/>
    <col width="13" customWidth="1" min="138" max="138"/>
    <col width="11" customWidth="1" min="139" max="139"/>
    <col width="13" customWidth="1" min="140" max="140"/>
    <col width="11" customWidth="1" min="141" max="141"/>
    <col width="13" customWidth="1" min="142" max="142"/>
    <col width="11" customWidth="1" min="143" max="143"/>
    <col width="13" customWidth="1" min="144" max="144"/>
    <col width="11" customWidth="1" min="145" max="145"/>
    <col width="13" customWidth="1" min="146" max="146"/>
    <col width="11" customWidth="1" min="147" max="147"/>
    <col width="13" customWidth="1" min="148" max="148"/>
    <col width="11" customWidth="1" min="149" max="149"/>
    <col width="13" customWidth="1" min="150" max="150"/>
    <col width="11" customWidth="1" min="151" max="151"/>
    <col width="13" customWidth="1" min="152" max="152"/>
    <col width="11" customWidth="1" min="153" max="153"/>
    <col width="13" customWidth="1" min="154" max="154"/>
    <col width="11" customWidth="1" min="155" max="155"/>
    <col width="13" customWidth="1" min="156" max="156"/>
    <col width="11" customWidth="1" min="157" max="157"/>
    <col width="13" customWidth="1" min="158" max="158"/>
    <col width="11" customWidth="1" min="159" max="159"/>
    <col width="13" customWidth="1" min="160" max="160"/>
    <col width="11" customWidth="1" min="161" max="161"/>
    <col width="13" customWidth="1" min="162" max="162"/>
    <col width="11" customWidth="1" min="163" max="163"/>
    <col width="13" customWidth="1" min="164" max="164"/>
    <col width="11" customWidth="1" min="165" max="165"/>
    <col width="13" customWidth="1" min="166" max="166"/>
    <col width="11" customWidth="1" min="167" max="167"/>
    <col width="13" customWidth="1" min="168" max="168"/>
    <col width="11" customWidth="1" min="169" max="169"/>
    <col width="13" customWidth="1" min="170" max="170"/>
    <col width="11" customWidth="1" min="171" max="171"/>
    <col width="13" customWidth="1" min="172" max="172"/>
    <col width="11" customWidth="1" min="173" max="173"/>
    <col width="13" customWidth="1" min="174" max="174"/>
    <col width="11" customWidth="1" min="175" max="175"/>
    <col width="13" customWidth="1" min="176" max="176"/>
    <col width="11" customWidth="1" min="177" max="177"/>
    <col width="13" customWidth="1" min="178" max="178"/>
    <col width="11" customWidth="1" min="179" max="179"/>
    <col width="13" customWidth="1" min="180" max="180"/>
    <col width="11" customWidth="1" min="181" max="181"/>
    <col width="13" customWidth="1" min="182" max="182"/>
    <col width="11" customWidth="1" min="183" max="183"/>
    <col width="13" customWidth="1" min="184" max="184"/>
    <col width="11" customWidth="1" min="185" max="185"/>
    <col width="13" customWidth="1" min="186" max="186"/>
    <col width="11" customWidth="1" min="187" max="187"/>
    <col width="13" customWidth="1" min="188" max="188"/>
    <col width="11" customWidth="1" min="189" max="189"/>
    <col width="13" customWidth="1" min="190" max="190"/>
    <col width="11" customWidth="1" min="191" max="191"/>
    <col width="13" customWidth="1" min="192" max="192"/>
    <col width="11" customWidth="1" min="193" max="193"/>
    <col width="13" customWidth="1" min="194" max="194"/>
    <col width="11" customWidth="1" min="195" max="195"/>
    <col width="13" customWidth="1" min="196" max="196"/>
    <col width="11" customWidth="1" min="197" max="197"/>
    <col width="13" customWidth="1" min="198" max="198"/>
    <col width="11" customWidth="1" min="199" max="199"/>
    <col width="13" customWidth="1" min="200" max="200"/>
    <col width="11" customWidth="1" min="201" max="201"/>
    <col width="13" customWidth="1" min="202" max="202"/>
    <col width="11" customWidth="1" min="203" max="203"/>
    <col width="13" customWidth="1" min="204" max="204"/>
    <col width="11" customWidth="1" min="205" max="205"/>
    <col width="13" customWidth="1" min="206" max="206"/>
    <col width="11" customWidth="1" min="207" max="207"/>
    <col width="13" customWidth="1" min="208" max="208"/>
    <col width="11" customWidth="1" min="209" max="209"/>
    <col width="13" customWidth="1" min="210" max="210"/>
    <col width="11" customWidth="1" min="211" max="211"/>
    <col width="13" customWidth="1" min="212" max="212"/>
    <col width="11" customWidth="1" min="213" max="213"/>
    <col width="13" customWidth="1" min="214" max="214"/>
    <col width="11" customWidth="1" min="215" max="215"/>
    <col width="13" customWidth="1" min="216" max="216"/>
    <col width="11" customWidth="1" min="217" max="217"/>
    <col width="13" customWidth="1" min="218" max="218"/>
    <col width="11" customWidth="1" min="219" max="219"/>
    <col width="13" customWidth="1" min="220" max="220"/>
    <col width="11" customWidth="1" min="221" max="221"/>
    <col width="13" customWidth="1" min="222" max="222"/>
    <col width="11" customWidth="1" min="223" max="223"/>
    <col width="13" customWidth="1" min="224" max="224"/>
    <col width="11" customWidth="1" min="225" max="225"/>
    <col width="13" customWidth="1" min="226" max="226"/>
    <col width="11" customWidth="1" min="227" max="227"/>
    <col width="13" customWidth="1" min="228" max="228"/>
    <col width="11" customWidth="1" min="229" max="229"/>
    <col width="13" customWidth="1" min="230" max="230"/>
    <col width="11" customWidth="1" min="231" max="231"/>
    <col width="13" customWidth="1" min="232" max="232"/>
    <col width="11" customWidth="1" min="233" max="233"/>
    <col width="13" customWidth="1" min="234" max="234"/>
    <col width="11" customWidth="1" min="235" max="235"/>
    <col width="13" customWidth="1" min="236" max="236"/>
    <col width="11" customWidth="1" min="237" max="237"/>
    <col width="13" customWidth="1" min="238" max="238"/>
    <col width="11" customWidth="1" min="239" max="239"/>
    <col width="13" customWidth="1" min="240" max="240"/>
    <col width="11" customWidth="1" min="241" max="241"/>
    <col width="13" customWidth="1" min="242" max="242"/>
    <col width="11" customWidth="1" min="243" max="243"/>
    <col width="13" customWidth="1" min="244" max="244"/>
    <col width="11" customWidth="1" min="245" max="245"/>
    <col width="13" customWidth="1" min="246" max="246"/>
    <col width="11" customWidth="1" min="247" max="247"/>
    <col width="13" customWidth="1" min="248" max="248"/>
    <col width="11" customWidth="1" min="249" max="249"/>
    <col width="13" customWidth="1" min="250" max="250"/>
    <col width="11" customWidth="1" min="251" max="251"/>
    <col width="13" customWidth="1" min="252" max="252"/>
    <col width="11" customWidth="1" min="253" max="253"/>
    <col width="13" customWidth="1" min="254" max="254"/>
    <col width="11" customWidth="1" min="255" max="255"/>
    <col width="13" customWidth="1" min="256" max="256"/>
    <col width="11" customWidth="1" min="257" max="257"/>
    <col width="13" customWidth="1" min="258" max="258"/>
    <col width="11" customWidth="1" min="259" max="259"/>
    <col width="13" customWidth="1" min="260" max="260"/>
    <col width="11" customWidth="1" min="261" max="261"/>
    <col width="13" customWidth="1" min="262" max="262"/>
    <col width="11" customWidth="1" min="263" max="263"/>
    <col width="13" customWidth="1" min="264" max="264"/>
  </cols>
  <sheetData>
    <row r="1">
      <c r="A1" s="3" t="inlineStr">
        <is>
          <t>Date</t>
        </is>
      </c>
      <c r="B1" s="3" t="inlineStr">
        <is>
          <t>BDIY Index</t>
        </is>
      </c>
      <c r="C1" s="3" t="inlineStr">
        <is>
          <t>Date</t>
        </is>
      </c>
      <c r="D1" s="3" t="inlineStr">
        <is>
          <t>BPIY Index</t>
        </is>
      </c>
      <c r="E1" s="3" t="inlineStr">
        <is>
          <t>Date</t>
        </is>
      </c>
      <c r="F1" s="3" t="inlineStr">
        <is>
          <t>BHSI Index</t>
        </is>
      </c>
      <c r="G1" s="3" t="inlineStr">
        <is>
          <t>Date</t>
        </is>
      </c>
      <c r="H1" s="3" t="inlineStr">
        <is>
          <t>D27DAGNI GALB Index</t>
        </is>
      </c>
      <c r="I1" s="3" t="inlineStr">
        <is>
          <t>Date</t>
        </is>
      </c>
      <c r="J1" s="3" t="inlineStr">
        <is>
          <t>GTCEAGUL GALB Index</t>
        </is>
      </c>
      <c r="K1" s="3" t="inlineStr">
        <is>
          <t>Date</t>
        </is>
      </c>
      <c r="L1" s="3" t="inlineStr">
        <is>
          <t>GTCEAGUS GALB Index</t>
        </is>
      </c>
      <c r="M1" s="3" t="inlineStr">
        <is>
          <t>Date</t>
        </is>
      </c>
      <c r="N1" s="3" t="inlineStr">
        <is>
          <t>GTCEAGFE Index</t>
        </is>
      </c>
      <c r="O1" s="3" t="inlineStr">
        <is>
          <t>Date</t>
        </is>
      </c>
      <c r="P1" s="3" t="inlineStr">
        <is>
          <t>GTCEAFEA GALB Index</t>
        </is>
      </c>
      <c r="Q1" s="3" t="inlineStr">
        <is>
          <t>Date</t>
        </is>
      </c>
      <c r="R1" s="3" t="inlineStr">
        <is>
          <t>GTCEAGPO GALB Index</t>
        </is>
      </c>
      <c r="S1" s="3" t="inlineStr">
        <is>
          <t>Date</t>
        </is>
      </c>
      <c r="T1" s="3" t="inlineStr">
        <is>
          <t>GTCEAORE GALB Index</t>
        </is>
      </c>
      <c r="U1" s="3" t="inlineStr">
        <is>
          <t>Date</t>
        </is>
      </c>
      <c r="V1" s="3" t="inlineStr">
        <is>
          <t>FD3CM0 Index</t>
        </is>
      </c>
      <c r="W1" s="3" t="inlineStr">
        <is>
          <t>Date</t>
        </is>
      </c>
      <c r="X1" s="3" t="inlineStr">
        <is>
          <t>TRSSCTCT Index</t>
        </is>
      </c>
      <c r="Y1" s="3" t="inlineStr">
        <is>
          <t>Date</t>
        </is>
      </c>
      <c r="Z1" s="3" t="inlineStr">
        <is>
          <t>TRSNCTCT Index</t>
        </is>
      </c>
      <c r="AA1" s="3" t="inlineStr">
        <is>
          <t>Date</t>
        </is>
      </c>
      <c r="AB1" s="3" t="inlineStr">
        <is>
          <t>TRSSTKCT Index</t>
        </is>
      </c>
      <c r="AC1" s="3" t="inlineStr">
        <is>
          <t>Date</t>
        </is>
      </c>
      <c r="AD1" s="3" t="inlineStr">
        <is>
          <t>TRSNTKCT Index</t>
        </is>
      </c>
      <c r="AE1" s="3" t="inlineStr">
        <is>
          <t>Date</t>
        </is>
      </c>
      <c r="AF1" s="3" t="inlineStr">
        <is>
          <t>TRSSBKCT Index</t>
        </is>
      </c>
      <c r="AG1" s="3" t="inlineStr">
        <is>
          <t>Date</t>
        </is>
      </c>
      <c r="AH1" s="3" t="inlineStr">
        <is>
          <t>TRSBCCCD Index</t>
        </is>
      </c>
      <c r="AI1" s="3" t="inlineStr">
        <is>
          <t>Date</t>
        </is>
      </c>
      <c r="AJ1" s="3" t="inlineStr">
        <is>
          <t>TRSSTKMD Index</t>
        </is>
      </c>
      <c r="AK1" s="3" t="inlineStr">
        <is>
          <t>Date</t>
        </is>
      </c>
      <c r="AL1" s="3" t="inlineStr">
        <is>
          <t>TRSNTKMD Index</t>
        </is>
      </c>
      <c r="AM1" s="3" t="inlineStr">
        <is>
          <t>Date</t>
        </is>
      </c>
      <c r="AN1" s="3" t="inlineStr">
        <is>
          <t>TRCECTCT Index</t>
        </is>
      </c>
      <c r="AO1" s="3" t="inlineStr">
        <is>
          <t>Date</t>
        </is>
      </c>
      <c r="AP1" s="3" t="inlineStr">
        <is>
          <t>TRCWCTCT Index</t>
        </is>
      </c>
      <c r="AQ1" s="3" t="inlineStr">
        <is>
          <t>Date</t>
        </is>
      </c>
      <c r="AR1" s="3" t="inlineStr">
        <is>
          <t>TRCEBKCT Index</t>
        </is>
      </c>
      <c r="AS1" s="3" t="inlineStr">
        <is>
          <t>Date</t>
        </is>
      </c>
      <c r="AT1" s="3" t="inlineStr">
        <is>
          <t>TRCETKCT Index</t>
        </is>
      </c>
      <c r="AU1" s="3" t="inlineStr">
        <is>
          <t>Date</t>
        </is>
      </c>
      <c r="AV1" s="3" t="inlineStr">
        <is>
          <t>TRHWTKCT Index</t>
        </is>
      </c>
      <c r="AW1" s="3" t="inlineStr">
        <is>
          <t>Date</t>
        </is>
      </c>
      <c r="AX1" s="3" t="inlineStr">
        <is>
          <t>TRHETKCT Index</t>
        </is>
      </c>
      <c r="AY1" s="3" t="inlineStr">
        <is>
          <t>Date</t>
        </is>
      </c>
      <c r="AZ1" s="3" t="inlineStr">
        <is>
          <t>TRHWCTCT Index</t>
        </is>
      </c>
      <c r="BA1" s="3" t="inlineStr">
        <is>
          <t>Date</t>
        </is>
      </c>
      <c r="BB1" s="3" t="inlineStr">
        <is>
          <t>TRHWBKCT Index</t>
        </is>
      </c>
      <c r="BC1" s="3" t="inlineStr">
        <is>
          <t>Date</t>
        </is>
      </c>
      <c r="BD1" s="3" t="inlineStr">
        <is>
          <t>TRHBCCCD Index</t>
        </is>
      </c>
      <c r="BE1" s="3" t="inlineStr">
        <is>
          <t>Date</t>
        </is>
      </c>
      <c r="BF1" s="3" t="inlineStr">
        <is>
          <t>TRBBCCCD Index</t>
        </is>
      </c>
      <c r="BG1" s="3" t="inlineStr">
        <is>
          <t>Date</t>
        </is>
      </c>
      <c r="BH1" s="3" t="inlineStr">
        <is>
          <t>TRBSCTCD Index</t>
        </is>
      </c>
      <c r="BI1" s="3" t="inlineStr">
        <is>
          <t>Date</t>
        </is>
      </c>
      <c r="BJ1" s="3" t="inlineStr">
        <is>
          <t>TRBBCOCD Index</t>
        </is>
      </c>
      <c r="BK1" s="3" t="inlineStr">
        <is>
          <t>Date</t>
        </is>
      </c>
      <c r="BL1" s="3" t="inlineStr">
        <is>
          <t>TRPSCTCT Index</t>
        </is>
      </c>
      <c r="BM1" s="3" t="inlineStr">
        <is>
          <t>Date</t>
        </is>
      </c>
      <c r="BN1" s="3" t="inlineStr">
        <is>
          <t>TRPNCTCT Index</t>
        </is>
      </c>
      <c r="BO1" s="3" t="inlineStr">
        <is>
          <t>Date</t>
        </is>
      </c>
      <c r="BP1" s="3" t="inlineStr">
        <is>
          <t>TRPSBKCT Index</t>
        </is>
      </c>
      <c r="BQ1" s="3" t="inlineStr">
        <is>
          <t>Date</t>
        </is>
      </c>
      <c r="BR1" s="3" t="inlineStr">
        <is>
          <t>TRPSTKCT Index</t>
        </is>
      </c>
      <c r="BS1" s="3" t="inlineStr">
        <is>
          <t>Date</t>
        </is>
      </c>
      <c r="BT1" s="3" t="inlineStr">
        <is>
          <t>TRPBCCCD Index</t>
        </is>
      </c>
      <c r="BU1" s="3" t="inlineStr">
        <is>
          <t>Date</t>
        </is>
      </c>
      <c r="BV1" s="3" t="inlineStr">
        <is>
          <t>TRPBLPCD Index</t>
        </is>
      </c>
      <c r="BW1" s="3" t="inlineStr">
        <is>
          <t>Date</t>
        </is>
      </c>
      <c r="BX1" s="3" t="inlineStr">
        <is>
          <t>CO1 Comdty</t>
        </is>
      </c>
      <c r="BY1" s="3" t="inlineStr">
        <is>
          <t>Date</t>
        </is>
      </c>
      <c r="BZ1" s="3" t="inlineStr">
        <is>
          <t>CL1 Comdty</t>
        </is>
      </c>
      <c r="CA1" s="3" t="inlineStr">
        <is>
          <t>Date</t>
        </is>
      </c>
      <c r="CB1" s="3" t="inlineStr">
        <is>
          <t>NG1 Comdty</t>
        </is>
      </c>
      <c r="CC1" s="3" t="inlineStr">
        <is>
          <t>Date</t>
        </is>
      </c>
      <c r="CD1" s="3" t="inlineStr">
        <is>
          <t>SCO1 Comdty</t>
        </is>
      </c>
      <c r="CE1" s="3" t="inlineStr">
        <is>
          <t>Date</t>
        </is>
      </c>
      <c r="CF1" s="3" t="inlineStr">
        <is>
          <t>XW1 Comdty</t>
        </is>
      </c>
      <c r="CG1" s="3" t="inlineStr">
        <is>
          <t>Date</t>
        </is>
      </c>
      <c r="CH1" s="3" t="inlineStr">
        <is>
          <t>C 1 Comdty</t>
        </is>
      </c>
      <c r="CI1" s="3" t="inlineStr">
        <is>
          <t>Date</t>
        </is>
      </c>
      <c r="CJ1" s="3" t="inlineStr">
        <is>
          <t>S 1 Comdty</t>
        </is>
      </c>
      <c r="CK1" s="3" t="inlineStr">
        <is>
          <t>Date</t>
        </is>
      </c>
      <c r="CL1" s="3" t="inlineStr">
        <is>
          <t>W 1 Comdty</t>
        </is>
      </c>
      <c r="CM1" s="3" t="inlineStr">
        <is>
          <t>Date</t>
        </is>
      </c>
      <c r="CN1" s="3" t="inlineStr">
        <is>
          <t>SB1 Comdty</t>
        </is>
      </c>
      <c r="CO1" s="3" t="inlineStr">
        <is>
          <t>Date</t>
        </is>
      </c>
      <c r="CP1" s="3" t="inlineStr">
        <is>
          <t>KO1 Comdty</t>
        </is>
      </c>
      <c r="CQ1" s="3" t="inlineStr">
        <is>
          <t>Date</t>
        </is>
      </c>
      <c r="CR1" s="3" t="inlineStr">
        <is>
          <t>LMCADY Comdty</t>
        </is>
      </c>
      <c r="CS1" s="3" t="inlineStr">
        <is>
          <t>Date</t>
        </is>
      </c>
      <c r="CT1" s="3" t="inlineStr">
        <is>
          <t>LMAHDY Comdty</t>
        </is>
      </c>
      <c r="CU1" s="3" t="inlineStr">
        <is>
          <t>Date</t>
        </is>
      </c>
      <c r="CV1" s="3" t="inlineStr">
        <is>
          <t>USGG10YR Index</t>
        </is>
      </c>
      <c r="CW1" s="3" t="inlineStr">
        <is>
          <t>Date</t>
        </is>
      </c>
      <c r="CX1" s="3" t="inlineStr">
        <is>
          <t>USGG2YR Index</t>
        </is>
      </c>
      <c r="CY1" s="3" t="inlineStr">
        <is>
          <t>Date</t>
        </is>
      </c>
      <c r="CZ1" s="3" t="inlineStr">
        <is>
          <t>USGGBE10 Index</t>
        </is>
      </c>
      <c r="DA1" s="3" t="inlineStr">
        <is>
          <t>Date</t>
        </is>
      </c>
      <c r="DB1" s="3" t="inlineStr">
        <is>
          <t>GVSK3YR Index</t>
        </is>
      </c>
      <c r="DC1" s="3" t="inlineStr">
        <is>
          <t>Date</t>
        </is>
      </c>
      <c r="DD1" s="3" t="inlineStr">
        <is>
          <t>GVSK10YR Index</t>
        </is>
      </c>
      <c r="DE1" s="3" t="inlineStr">
        <is>
          <t>Date</t>
        </is>
      </c>
      <c r="DF1" s="3" t="inlineStr">
        <is>
          <t>DXY Curncy</t>
        </is>
      </c>
      <c r="DG1" s="3" t="inlineStr">
        <is>
          <t>Date</t>
        </is>
      </c>
      <c r="DH1" s="3" t="inlineStr">
        <is>
          <t>USDKRW Curncy</t>
        </is>
      </c>
      <c r="DI1" s="3" t="inlineStr">
        <is>
          <t>Date</t>
        </is>
      </c>
      <c r="DJ1" s="3" t="inlineStr">
        <is>
          <t>USDCNY Curncy</t>
        </is>
      </c>
      <c r="DK1" s="3" t="inlineStr">
        <is>
          <t>Date</t>
        </is>
      </c>
      <c r="DL1" s="3" t="inlineStr">
        <is>
          <t>KOSPI Index</t>
        </is>
      </c>
      <c r="DM1" s="3" t="inlineStr">
        <is>
          <t>Date</t>
        </is>
      </c>
      <c r="DN1" s="3" t="inlineStr">
        <is>
          <t>SPX Index</t>
        </is>
      </c>
      <c r="DO1" s="3" t="inlineStr">
        <is>
          <t>Date</t>
        </is>
      </c>
      <c r="DP1" s="3" t="inlineStr">
        <is>
          <t>SHCOMP Index</t>
        </is>
      </c>
      <c r="DQ1" s="3" t="inlineStr">
        <is>
          <t>Date</t>
        </is>
      </c>
      <c r="DR1" s="3" t="inlineStr">
        <is>
          <t>TRAN Index</t>
        </is>
      </c>
      <c r="DS1" s="3" t="inlineStr">
        <is>
          <t>Date</t>
        </is>
      </c>
      <c r="DT1" s="3" t="inlineStr">
        <is>
          <t>S5INDU Index</t>
        </is>
      </c>
      <c r="DU1" s="3" t="inlineStr">
        <is>
          <t>Date</t>
        </is>
      </c>
      <c r="DV1" s="3" t="inlineStr">
        <is>
          <t>S5RETL Index</t>
        </is>
      </c>
      <c r="DW1" s="3" t="inlineStr">
        <is>
          <t>Date</t>
        </is>
      </c>
      <c r="DX1" s="3" t="inlineStr">
        <is>
          <t>KOSPTRAN Index</t>
        </is>
      </c>
      <c r="DY1" s="3" t="inlineStr">
        <is>
          <t>Date</t>
        </is>
      </c>
      <c r="DZ1" s="3" t="inlineStr">
        <is>
          <t>011200 KS Equity</t>
        </is>
      </c>
      <c r="EA1" s="3" t="inlineStr">
        <is>
          <t>Date</t>
        </is>
      </c>
      <c r="EB1" s="3" t="inlineStr">
        <is>
          <t>MAERSKB DC Equity</t>
        </is>
      </c>
      <c r="EC1" s="3" t="inlineStr">
        <is>
          <t>Date</t>
        </is>
      </c>
      <c r="ED1" s="3" t="inlineStr">
        <is>
          <t>HLAG GR Equity</t>
        </is>
      </c>
      <c r="EE1" s="3" t="inlineStr">
        <is>
          <t>Date</t>
        </is>
      </c>
      <c r="EF1" s="3" t="inlineStr">
        <is>
          <t>1919 HK Equity</t>
        </is>
      </c>
      <c r="EG1" s="3" t="inlineStr">
        <is>
          <t>Date</t>
        </is>
      </c>
      <c r="EH1" s="3" t="inlineStr">
        <is>
          <t>2603 TT Equity</t>
        </is>
      </c>
      <c r="EI1" s="3" t="inlineStr">
        <is>
          <t>Date</t>
        </is>
      </c>
      <c r="EJ1" s="3" t="inlineStr">
        <is>
          <t>2609 TT Equity</t>
        </is>
      </c>
      <c r="EK1" s="3" t="inlineStr">
        <is>
          <t>Date</t>
        </is>
      </c>
      <c r="EL1" s="3" t="inlineStr">
        <is>
          <t>ZIM US Equity</t>
        </is>
      </c>
      <c r="EM1" s="3" t="inlineStr">
        <is>
          <t>Date</t>
        </is>
      </c>
      <c r="EN1" s="3" t="inlineStr">
        <is>
          <t>MATX US Equity</t>
        </is>
      </c>
      <c r="EO1" s="3" t="inlineStr">
        <is>
          <t>Date</t>
        </is>
      </c>
      <c r="EP1" s="3" t="inlineStr">
        <is>
          <t>003280 KS Equity</t>
        </is>
      </c>
      <c r="EQ1" s="3" t="inlineStr">
        <is>
          <t>Date</t>
        </is>
      </c>
      <c r="ER1" s="3" t="inlineStr">
        <is>
          <t>028670 KS Equity</t>
        </is>
      </c>
      <c r="ES1" s="3" t="inlineStr">
        <is>
          <t>Date</t>
        </is>
      </c>
      <c r="ET1" s="3" t="inlineStr">
        <is>
          <t>005880 KS Equity</t>
        </is>
      </c>
      <c r="EU1" s="3" t="inlineStr">
        <is>
          <t>Date</t>
        </is>
      </c>
      <c r="EV1" s="3" t="inlineStr">
        <is>
          <t>044450 KS Equity</t>
        </is>
      </c>
      <c r="EW1" s="3" t="inlineStr">
        <is>
          <t>Date</t>
        </is>
      </c>
      <c r="EX1" s="3" t="inlineStr">
        <is>
          <t>SBLK US Equity</t>
        </is>
      </c>
      <c r="EY1" s="3" t="inlineStr">
        <is>
          <t>Date</t>
        </is>
      </c>
      <c r="EZ1" s="3" t="inlineStr">
        <is>
          <t>2343 HK Equity</t>
        </is>
      </c>
      <c r="FA1" s="3" t="inlineStr">
        <is>
          <t>Date</t>
        </is>
      </c>
      <c r="FB1" s="3" t="inlineStr">
        <is>
          <t>FRO US Equity</t>
        </is>
      </c>
      <c r="FC1" s="3" t="inlineStr">
        <is>
          <t>Date</t>
        </is>
      </c>
      <c r="FD1" s="3" t="inlineStr">
        <is>
          <t>DHT US Equity</t>
        </is>
      </c>
      <c r="FE1" s="3" t="inlineStr">
        <is>
          <t>Date</t>
        </is>
      </c>
      <c r="FF1" s="3" t="inlineStr">
        <is>
          <t>STNG US Equity</t>
        </is>
      </c>
      <c r="FG1" s="3" t="inlineStr">
        <is>
          <t>Date</t>
        </is>
      </c>
      <c r="FH1" s="3" t="inlineStr">
        <is>
          <t>FLNG US Equity</t>
        </is>
      </c>
      <c r="FI1" s="3" t="inlineStr">
        <is>
          <t>Date</t>
        </is>
      </c>
      <c r="FJ1" s="3" t="inlineStr">
        <is>
          <t>009540 KS Equity</t>
        </is>
      </c>
      <c r="FK1" s="3" t="inlineStr">
        <is>
          <t>Date</t>
        </is>
      </c>
      <c r="FL1" s="3" t="inlineStr">
        <is>
          <t>329180 KS Equity</t>
        </is>
      </c>
      <c r="FM1" s="3" t="inlineStr">
        <is>
          <t>Date</t>
        </is>
      </c>
      <c r="FN1" s="3" t="inlineStr">
        <is>
          <t>010140 KS Equity</t>
        </is>
      </c>
      <c r="FO1" s="3" t="inlineStr">
        <is>
          <t>Date</t>
        </is>
      </c>
      <c r="FP1" s="3" t="inlineStr">
        <is>
          <t>042660 KS Equity</t>
        </is>
      </c>
      <c r="FQ1" s="3" t="inlineStr">
        <is>
          <t>Date</t>
        </is>
      </c>
      <c r="FR1" s="3" t="inlineStr">
        <is>
          <t>086280 KS Equity</t>
        </is>
      </c>
      <c r="FS1" s="3" t="inlineStr">
        <is>
          <t>Date</t>
        </is>
      </c>
      <c r="FT1" s="3" t="inlineStr">
        <is>
          <t>000120 KS Equity</t>
        </is>
      </c>
      <c r="FU1" s="3" t="inlineStr">
        <is>
          <t>Date</t>
        </is>
      </c>
      <c r="FV1" s="3" t="inlineStr">
        <is>
          <t>DSV DC Equity</t>
        </is>
      </c>
      <c r="FW1" s="3" t="inlineStr">
        <is>
          <t>Date</t>
        </is>
      </c>
      <c r="FX1" s="3" t="inlineStr">
        <is>
          <t>KNIN SW Equity</t>
        </is>
      </c>
      <c r="FY1" s="3" t="inlineStr">
        <is>
          <t>Date</t>
        </is>
      </c>
      <c r="FZ1" s="3" t="inlineStr">
        <is>
          <t>EXPD US Equity</t>
        </is>
      </c>
      <c r="GA1" s="3" t="inlineStr">
        <is>
          <t>Date</t>
        </is>
      </c>
      <c r="GB1" s="3" t="inlineStr">
        <is>
          <t>CHRW US Equity</t>
        </is>
      </c>
      <c r="GC1" s="3" t="inlineStr">
        <is>
          <t>Date</t>
        </is>
      </c>
      <c r="GD1" s="3" t="inlineStr">
        <is>
          <t>HPHT SP Equity</t>
        </is>
      </c>
      <c r="GE1" s="3" t="inlineStr">
        <is>
          <t>Date</t>
        </is>
      </c>
      <c r="GF1" s="3" t="inlineStr">
        <is>
          <t>1199 HK Equity</t>
        </is>
      </c>
      <c r="GG1" s="3" t="inlineStr">
        <is>
          <t>Date</t>
        </is>
      </c>
      <c r="GH1" s="3" t="inlineStr">
        <is>
          <t>ICT PM Equity</t>
        </is>
      </c>
      <c r="GI1" s="3" t="inlineStr">
        <is>
          <t>Date</t>
        </is>
      </c>
      <c r="GJ1" s="3" t="inlineStr">
        <is>
          <t>2039 HK Equity</t>
        </is>
      </c>
      <c r="GK1" s="3" t="inlineStr">
        <is>
          <t>Date</t>
        </is>
      </c>
      <c r="GL1" s="3" t="inlineStr">
        <is>
          <t>CSX US Equity</t>
        </is>
      </c>
      <c r="GM1" s="3" t="inlineStr">
        <is>
          <t>Date</t>
        </is>
      </c>
      <c r="GN1" s="3" t="inlineStr">
        <is>
          <t>NSC US Equity</t>
        </is>
      </c>
      <c r="GO1" s="3" t="inlineStr">
        <is>
          <t>Date</t>
        </is>
      </c>
      <c r="GP1" s="3" t="inlineStr">
        <is>
          <t>UNP US Equity</t>
        </is>
      </c>
      <c r="GQ1" s="3" t="inlineStr">
        <is>
          <t>Date</t>
        </is>
      </c>
      <c r="GR1" s="3" t="inlineStr">
        <is>
          <t>ADM US Equity</t>
        </is>
      </c>
      <c r="GS1" s="3" t="inlineStr">
        <is>
          <t>Date</t>
        </is>
      </c>
      <c r="GT1" s="3" t="inlineStr">
        <is>
          <t>BG US Equity</t>
        </is>
      </c>
      <c r="GU1" s="3" t="inlineStr">
        <is>
          <t>Date</t>
        </is>
      </c>
      <c r="GV1" s="3" t="inlineStr">
        <is>
          <t>VALE3 BZ Equity</t>
        </is>
      </c>
      <c r="GW1" s="3" t="inlineStr">
        <is>
          <t>Date</t>
        </is>
      </c>
      <c r="GX1" s="3" t="inlineStr">
        <is>
          <t>BHP AU Equity</t>
        </is>
      </c>
      <c r="GY1" s="3" t="inlineStr">
        <is>
          <t>Date</t>
        </is>
      </c>
      <c r="GZ1" s="3" t="inlineStr">
        <is>
          <t>RIO AU Equity</t>
        </is>
      </c>
      <c r="HA1" s="3" t="inlineStr">
        <is>
          <t>Date</t>
        </is>
      </c>
      <c r="HB1" s="3" t="inlineStr">
        <is>
          <t>005490 KS Equity</t>
        </is>
      </c>
      <c r="HC1" s="3" t="inlineStr">
        <is>
          <t>Date</t>
        </is>
      </c>
      <c r="HD1" s="3" t="inlineStr">
        <is>
          <t>WMT US Equity</t>
        </is>
      </c>
      <c r="HE1" s="3" t="inlineStr">
        <is>
          <t>Date</t>
        </is>
      </c>
      <c r="HF1" s="3" t="inlineStr">
        <is>
          <t>TGT US Equity</t>
        </is>
      </c>
      <c r="HG1" s="3" t="inlineStr">
        <is>
          <t>Date</t>
        </is>
      </c>
      <c r="HH1" s="3" t="inlineStr">
        <is>
          <t>AMZN US Equity</t>
        </is>
      </c>
      <c r="HI1" s="3" t="inlineStr">
        <is>
          <t>Date</t>
        </is>
      </c>
      <c r="HJ1" s="3" t="inlineStr">
        <is>
          <t>TRVSDCVW Index</t>
        </is>
      </c>
      <c r="HK1" s="3" t="inlineStr">
        <is>
          <t>Date</t>
        </is>
      </c>
      <c r="HL1" s="3" t="inlineStr">
        <is>
          <t>TRVSKRVW Index</t>
        </is>
      </c>
      <c r="HM1" s="3" t="inlineStr">
        <is>
          <t>Date</t>
        </is>
      </c>
      <c r="HN1" s="3" t="inlineStr">
        <is>
          <t>TRVSVNVW Index</t>
        </is>
      </c>
      <c r="HO1" s="3" t="inlineStr">
        <is>
          <t>Date</t>
        </is>
      </c>
      <c r="HP1" s="3" t="inlineStr">
        <is>
          <t>TRVSTWVW Index</t>
        </is>
      </c>
      <c r="HQ1" s="3" t="inlineStr">
        <is>
          <t>Date</t>
        </is>
      </c>
      <c r="HR1" s="3" t="inlineStr">
        <is>
          <t>TRINUSVW Index</t>
        </is>
      </c>
      <c r="HS1" s="3" t="inlineStr">
        <is>
          <t>Date</t>
        </is>
      </c>
      <c r="HT1" s="3" t="inlineStr">
        <is>
          <t>TRTHUSVW Index</t>
        </is>
      </c>
      <c r="HU1" s="3" t="inlineStr">
        <is>
          <t>Date</t>
        </is>
      </c>
      <c r="HV1" s="3" t="inlineStr">
        <is>
          <t>TRMXUSVW Index</t>
        </is>
      </c>
      <c r="HW1" s="3" t="inlineStr">
        <is>
          <t>Date</t>
        </is>
      </c>
      <c r="HX1" s="3" t="inlineStr">
        <is>
          <t>TRVSDEVW Index</t>
        </is>
      </c>
      <c r="HY1" s="3" t="inlineStr">
        <is>
          <t>Date</t>
        </is>
      </c>
      <c r="HZ1" s="3" t="inlineStr">
        <is>
          <t>TRUSCNVW Index</t>
        </is>
      </c>
      <c r="IA1" s="3" t="inlineStr">
        <is>
          <t>Date</t>
        </is>
      </c>
      <c r="IB1" s="3" t="inlineStr">
        <is>
          <t>TRUSKRVW Index</t>
        </is>
      </c>
      <c r="IC1" s="3" t="inlineStr">
        <is>
          <t>Date</t>
        </is>
      </c>
      <c r="ID1" s="3" t="inlineStr">
        <is>
          <t>TRUSJPVW Index</t>
        </is>
      </c>
      <c r="IE1" s="3" t="inlineStr">
        <is>
          <t>Date</t>
        </is>
      </c>
      <c r="IF1" s="3" t="inlineStr">
        <is>
          <t>TRUSTWVW Index</t>
        </is>
      </c>
      <c r="IG1" s="3" t="inlineStr">
        <is>
          <t>Date</t>
        </is>
      </c>
      <c r="IH1" s="3" t="inlineStr">
        <is>
          <t>TRUSBRVW Index</t>
        </is>
      </c>
      <c r="II1" s="3" t="inlineStr">
        <is>
          <t>Date</t>
        </is>
      </c>
      <c r="IJ1" s="3" t="inlineStr">
        <is>
          <t>TRCNKRVW Index</t>
        </is>
      </c>
      <c r="IK1" s="3" t="inlineStr">
        <is>
          <t>Date</t>
        </is>
      </c>
      <c r="IL1" s="3" t="inlineStr">
        <is>
          <t>TRCNJPVW Index</t>
        </is>
      </c>
      <c r="IM1" s="3" t="inlineStr">
        <is>
          <t>Date</t>
        </is>
      </c>
      <c r="IN1" s="3" t="inlineStr">
        <is>
          <t>TRCNSGVW Index</t>
        </is>
      </c>
      <c r="IO1" s="3" t="inlineStr">
        <is>
          <t>Date</t>
        </is>
      </c>
      <c r="IP1" s="3" t="inlineStr">
        <is>
          <t>TRCNVNVW Index</t>
        </is>
      </c>
      <c r="IQ1" s="3" t="inlineStr">
        <is>
          <t>Date</t>
        </is>
      </c>
      <c r="IR1" s="3" t="inlineStr">
        <is>
          <t>TRCNGBVW Index</t>
        </is>
      </c>
      <c r="IS1" s="3" t="inlineStr">
        <is>
          <t>Date</t>
        </is>
      </c>
      <c r="IT1" s="3" t="inlineStr">
        <is>
          <t>TRCNNLVW Index</t>
        </is>
      </c>
      <c r="IU1" s="3" t="inlineStr">
        <is>
          <t>Date</t>
        </is>
      </c>
      <c r="IV1" s="3" t="inlineStr">
        <is>
          <t>TRCNINVW Index</t>
        </is>
      </c>
      <c r="IW1" s="3" t="inlineStr">
        <is>
          <t>Date</t>
        </is>
      </c>
      <c r="IX1" s="3" t="inlineStr">
        <is>
          <t>TRCNBRVW Index</t>
        </is>
      </c>
      <c r="IY1" s="3" t="inlineStr">
        <is>
          <t>Date</t>
        </is>
      </c>
      <c r="IZ1" s="3" t="inlineStr">
        <is>
          <t>TRCNAUVW Index</t>
        </is>
      </c>
      <c r="JA1" s="3" t="inlineStr">
        <is>
          <t>Date</t>
        </is>
      </c>
      <c r="JB1" s="3" t="inlineStr">
        <is>
          <t>TRVSDLVW Index</t>
        </is>
      </c>
      <c r="JC1" s="3" t="inlineStr">
        <is>
          <t>Date</t>
        </is>
      </c>
      <c r="JD1" s="3" t="inlineStr">
        <is>
          <t>TRUSCNLW Index</t>
        </is>
      </c>
    </row>
    <row r="2">
      <c r="A2" s="6">
        <f>BDH(B$1,"PX_LAST","2015-01-01",TODAY(),"Dir=V","Dts=S","Sort=A","Quote=C","QtTyp=P","Days=T","Fill=P","Per=cd","DtFmt=D","cols=2;rows=3200")</f>
        <v/>
      </c>
      <c r="C2" s="6">
        <f>BDH(D$1,"PX_LAST","2015-01-01",TODAY(),"Dir=V","Dts=S","Sort=A","Quote=C","QtTyp=P","Days=T","Fill=P","Per=cd","DtFmt=D","cols=2;rows=3200")</f>
        <v/>
      </c>
      <c r="E2" s="6">
        <f>BDH(F$1,"PX_LAST","2015-01-01",TODAY(),"Dir=V","Dts=S","Sort=A","Quote=C","QtTyp=P","Days=T","Fill=P","Per=cd","DtFmt=D","cols=2;rows=3200")</f>
        <v/>
      </c>
      <c r="G2" s="6">
        <f>BDH(H$1,"PX_LAST","2015-01-01",TODAY(),"Dir=V","Dts=S","Sort=A","Quote=C","QtTyp=P","Days=T","Fill=P","Per=cd","DtFmt=D","cols=2;rows=3200")</f>
        <v/>
      </c>
      <c r="I2" s="6">
        <f>BDH(J$1,"PX_LAST","2015-01-01",TODAY(),"Dir=V","Dts=S","Sort=A","Quote=C","QtTyp=P","Days=T","Fill=P","Per=cd","DtFmt=D","cols=2;rows=3200")</f>
        <v/>
      </c>
      <c r="K2" s="6">
        <f>BDH(L$1,"PX_LAST","2015-01-01",TODAY(),"Dir=V","Dts=S","Sort=A","Quote=C","QtTyp=P","Days=T","Fill=P","Per=cd","DtFmt=D","cols=2;rows=3200")</f>
        <v/>
      </c>
      <c r="M2" s="6">
        <f>BDH(N$1,"PX_LAST","2015-01-01",TODAY(),"Dir=V","Dts=S","Sort=A","Quote=C","QtTyp=P","Days=T","Fill=P","Per=cd","DtFmt=D","cols=2;rows=3200")</f>
        <v/>
      </c>
      <c r="O2" s="6">
        <f>BDH(P$1,"PX_LAST","2015-01-01",TODAY(),"Dir=V","Dts=S","Sort=A","Quote=C","QtTyp=P","Days=T","Fill=P","Per=cd","DtFmt=D","cols=2;rows=3200")</f>
        <v/>
      </c>
      <c r="Q2" s="6">
        <f>BDH(R$1,"PX_LAST","2015-01-01",TODAY(),"Dir=V","Dts=S","Sort=A","Quote=C","QtTyp=P","Days=T","Fill=P","Per=cd","DtFmt=D","cols=2;rows=3200")</f>
        <v/>
      </c>
      <c r="S2" s="6">
        <f>BDH(T$1,"PX_LAST","2015-01-01",TODAY(),"Dir=V","Dts=S","Sort=A","Quote=C","QtTyp=P","Days=T","Fill=P","Per=cd","DtFmt=D","cols=2;rows=3200")</f>
        <v/>
      </c>
      <c r="U2" s="6">
        <f>BDH(V$1,"PX_LAST","2015-01-01",TODAY(),"Dir=V","Dts=S","Sort=A","Quote=C","QtTyp=P","Days=T","Fill=P","Per=cd","DtFmt=D","cols=2;rows=3200")</f>
        <v/>
      </c>
      <c r="W2" s="6">
        <f>BDH(X$1,"PX_LAST","2018-01-01",TODAY(),"Dir=V","Dts=S","Sort=A","Quote=C","QtTyp=P","Days=T","Fill=P","Per=cd","DtFmt=D","cols=2;rows=3200")</f>
        <v/>
      </c>
      <c r="Y2" s="6">
        <f>BDH(Z$1,"PX_LAST","2018-01-01",TODAY(),"Dir=V","Dts=S","Sort=A","Quote=C","QtTyp=P","Days=T","Fill=P","Per=cd","DtFmt=D","cols=2;rows=3200")</f>
        <v/>
      </c>
      <c r="AA2" s="6">
        <f>BDH(AB$1,"PX_LAST","2018-01-01",TODAY(),"Dir=V","Dts=S","Sort=A","Quote=C","QtTyp=P","Days=T","Fill=P","Per=cd","DtFmt=D","cols=2;rows=3200")</f>
        <v/>
      </c>
      <c r="AC2" s="6">
        <f>BDH(AD$1,"PX_LAST","2018-01-01",TODAY(),"Dir=V","Dts=S","Sort=A","Quote=C","QtTyp=P","Days=T","Fill=P","Per=cd","DtFmt=D","cols=2;rows=3200")</f>
        <v/>
      </c>
      <c r="AE2" s="6">
        <f>BDH(AF$1,"PX_LAST","2018-01-01",TODAY(),"Dir=V","Dts=S","Sort=A","Quote=C","QtTyp=P","Days=T","Fill=P","Per=cd","DtFmt=D","cols=2;rows=3200")</f>
        <v/>
      </c>
      <c r="AG2" s="6">
        <f>BDH(AH$1,"PX_LAST","2018-01-01",TODAY(),"Dir=V","Dts=S","Sort=A","Quote=C","QtTyp=P","Days=T","Fill=P","Per=cd","DtFmt=D","cols=2;rows=3200")</f>
        <v/>
      </c>
      <c r="AI2" s="6">
        <f>BDH(AJ$1,"PX_LAST","2018-01-01",TODAY(),"Dir=V","Dts=S","Sort=A","Quote=C","QtTyp=P","Days=T","Fill=P","Per=cd","DtFmt=D","cols=2;rows=3200")</f>
        <v/>
      </c>
      <c r="AK2" s="6">
        <f>BDH(AL$1,"PX_LAST","2018-01-01",TODAY(),"Dir=V","Dts=S","Sort=A","Quote=C","QtTyp=P","Days=T","Fill=P","Per=cd","DtFmt=D","cols=2;rows=3200")</f>
        <v/>
      </c>
      <c r="AM2" s="6">
        <f>BDH(AN$1,"PX_LAST","2018-01-01",TODAY(),"Dir=V","Dts=S","Sort=A","Quote=C","QtTyp=P","Days=T","Fill=P","Per=cd","DtFmt=D","cols=2;rows=3200")</f>
        <v/>
      </c>
      <c r="AO2" s="6">
        <f>BDH(AP$1,"PX_LAST","2018-01-01",TODAY(),"Dir=V","Dts=S","Sort=A","Quote=C","QtTyp=P","Days=T","Fill=P","Per=cd","DtFmt=D","cols=2;rows=3200")</f>
        <v/>
      </c>
      <c r="AQ2" s="6">
        <f>BDH(AR$1,"PX_LAST","2018-01-01",TODAY(),"Dir=V","Dts=S","Sort=A","Quote=C","QtTyp=P","Days=T","Fill=P","Per=cd","DtFmt=D","cols=2;rows=3200")</f>
        <v/>
      </c>
      <c r="AS2" s="6">
        <f>BDH(AT$1,"PX_LAST","2018-01-01",TODAY(),"Dir=V","Dts=S","Sort=A","Quote=C","QtTyp=P","Days=T","Fill=P","Per=cd","DtFmt=D","cols=2;rows=3200")</f>
        <v/>
      </c>
      <c r="AU2" s="6">
        <f>BDH(AV$1,"PX_LAST","2018-01-01",TODAY(),"Dir=V","Dts=S","Sort=A","Quote=C","QtTyp=P","Days=T","Fill=P","Per=cd","DtFmt=D","cols=2;rows=3200")</f>
        <v/>
      </c>
      <c r="AW2" s="6">
        <f>BDH(AX$1,"PX_LAST","2018-01-01",TODAY(),"Dir=V","Dts=S","Sort=A","Quote=C","QtTyp=P","Days=T","Fill=P","Per=cd","DtFmt=D","cols=2;rows=3200")</f>
        <v/>
      </c>
      <c r="AY2" s="6">
        <f>BDH(AZ$1,"PX_LAST","2018-01-01",TODAY(),"Dir=V","Dts=S","Sort=A","Quote=C","QtTyp=P","Days=T","Fill=P","Per=cd","DtFmt=D","cols=2;rows=3200")</f>
        <v/>
      </c>
      <c r="BA2" s="6">
        <f>BDH(BB$1,"PX_LAST","2018-01-01",TODAY(),"Dir=V","Dts=S","Sort=A","Quote=C","QtTyp=P","Days=T","Fill=P","Per=cd","DtFmt=D","cols=2;rows=3200")</f>
        <v/>
      </c>
      <c r="BC2" s="6">
        <f>BDH(BD$1,"PX_LAST","2018-01-01",TODAY(),"Dir=V","Dts=S","Sort=A","Quote=C","QtTyp=P","Days=T","Fill=P","Per=cd","DtFmt=D","cols=2;rows=3200")</f>
        <v/>
      </c>
      <c r="BE2" s="6">
        <f>BDH(BF$1,"PX_LAST","2018-01-01",TODAY(),"Dir=V","Dts=S","Sort=A","Quote=C","QtTyp=P","Days=T","Fill=P","Per=cd","DtFmt=D","cols=2;rows=3200")</f>
        <v/>
      </c>
      <c r="BG2" s="6">
        <f>BDH(BH$1,"PX_LAST","2018-01-01",TODAY(),"Dir=V","Dts=S","Sort=A","Quote=C","QtTyp=P","Days=T","Fill=P","Per=cd","DtFmt=D","cols=2;rows=3200")</f>
        <v/>
      </c>
      <c r="BI2" s="6">
        <f>BDH(BJ$1,"PX_LAST","2018-01-01",TODAY(),"Dir=V","Dts=S","Sort=A","Quote=C","QtTyp=P","Days=T","Fill=P","Per=cd","DtFmt=D","cols=2;rows=3200")</f>
        <v/>
      </c>
      <c r="BK2" s="6">
        <f>BDH(BL$1,"PX_LAST","2018-01-01",TODAY(),"Dir=V","Dts=S","Sort=A","Quote=C","QtTyp=P","Days=T","Fill=P","Per=cd","DtFmt=D","cols=2;rows=3200")</f>
        <v/>
      </c>
      <c r="BM2" s="6">
        <f>BDH(BN$1,"PX_LAST","2018-01-01",TODAY(),"Dir=V","Dts=S","Sort=A","Quote=C","QtTyp=P","Days=T","Fill=P","Per=cd","DtFmt=D","cols=2;rows=3200")</f>
        <v/>
      </c>
      <c r="BO2" s="6">
        <f>BDH(BP$1,"PX_LAST","2018-01-01",TODAY(),"Dir=V","Dts=S","Sort=A","Quote=C","QtTyp=P","Days=T","Fill=P","Per=cd","DtFmt=D","cols=2;rows=3200")</f>
        <v/>
      </c>
      <c r="BQ2" s="6">
        <f>BDH(BR$1,"PX_LAST","2018-01-01",TODAY(),"Dir=V","Dts=S","Sort=A","Quote=C","QtTyp=P","Days=T","Fill=P","Per=cd","DtFmt=D","cols=2;rows=3200")</f>
        <v/>
      </c>
      <c r="BS2" s="6">
        <f>BDH(BT$1,"PX_LAST","2018-01-01",TODAY(),"Dir=V","Dts=S","Sort=A","Quote=C","QtTyp=P","Days=T","Fill=P","Per=cd","DtFmt=D","cols=2;rows=3200")</f>
        <v/>
      </c>
      <c r="BU2" s="6">
        <f>BDH(BV$1,"PX_LAST","2018-01-01",TODAY(),"Dir=V","Dts=S","Sort=A","Quote=C","QtTyp=P","Days=T","Fill=P","Per=cd","DtFmt=D","cols=2;rows=3200")</f>
        <v/>
      </c>
      <c r="BW2" s="6">
        <f>BDH(BX$1,"PX_LAST","2015-01-01",TODAY(),"Dir=V","Dts=S","Sort=A","Quote=C","QtTyp=P","Days=T","Fill=P","Per=cd","DtFmt=D","cols=2;rows=3200")</f>
        <v/>
      </c>
      <c r="BY2" s="6">
        <f>BDH(BZ$1,"PX_LAST","2015-01-01",TODAY(),"Dir=V","Dts=S","Sort=A","Quote=C","QtTyp=P","Days=T","Fill=P","Per=cd","DtFmt=D","cols=2;rows=3200")</f>
        <v/>
      </c>
      <c r="CA2" s="6">
        <f>BDH(CB$1,"PX_LAST","2015-01-01",TODAY(),"Dir=V","Dts=S","Sort=A","Quote=C","QtTyp=P","Days=T","Fill=P","Per=cd","DtFmt=D","cols=2;rows=3200")</f>
        <v/>
      </c>
      <c r="CC2" s="6">
        <f>BDH(CD$1,"PX_LAST","2015-01-01",TODAY(),"Dir=V","Dts=S","Sort=A","Quote=C","QtTyp=P","Days=T","Fill=P","Per=cd","DtFmt=D","cols=2;rows=3200")</f>
        <v/>
      </c>
      <c r="CE2" s="6">
        <f>BDH(CF$1,"PX_LAST","2015-01-01",TODAY(),"Dir=V","Dts=S","Sort=A","Quote=C","QtTyp=P","Days=T","Fill=P","Per=cd","DtFmt=D","cols=2;rows=3200")</f>
        <v/>
      </c>
      <c r="CG2" s="6">
        <f>BDH(CH$1,"PX_LAST","2015-01-01",TODAY(),"Dir=V","Dts=S","Sort=A","Quote=C","QtTyp=P","Days=T","Fill=P","Per=cd","DtFmt=D","cols=2;rows=3200")</f>
        <v/>
      </c>
      <c r="CI2" s="6">
        <f>BDH(CJ$1,"PX_LAST","2015-01-01",TODAY(),"Dir=V","Dts=S","Sort=A","Quote=C","QtTyp=P","Days=T","Fill=P","Per=cd","DtFmt=D","cols=2;rows=3200")</f>
        <v/>
      </c>
      <c r="CK2" s="6">
        <f>BDH(CL$1,"PX_LAST","2015-01-01",TODAY(),"Dir=V","Dts=S","Sort=A","Quote=C","QtTyp=P","Days=T","Fill=P","Per=cd","DtFmt=D","cols=2;rows=3200")</f>
        <v/>
      </c>
      <c r="CM2" s="6">
        <f>BDH(CN$1,"PX_LAST","2015-01-01",TODAY(),"Dir=V","Dts=S","Sort=A","Quote=C","QtTyp=P","Days=T","Fill=P","Per=cd","DtFmt=D","cols=2;rows=3200")</f>
        <v/>
      </c>
      <c r="CO2" s="6">
        <f>BDH(CP$1,"PX_LAST","2015-01-01",TODAY(),"Dir=V","Dts=S","Sort=A","Quote=C","QtTyp=P","Days=T","Fill=P","Per=cd","DtFmt=D","cols=2;rows=3200")</f>
        <v/>
      </c>
      <c r="CQ2" s="6">
        <f>BDH(CR$1,"PX_LAST","2015-01-01",TODAY(),"Dir=V","Dts=S","Sort=A","Quote=C","QtTyp=P","Days=T","Fill=P","Per=cd","DtFmt=D","cols=2;rows=3200")</f>
        <v/>
      </c>
      <c r="CS2" s="6">
        <f>BDH(CT$1,"PX_LAST","2015-01-01",TODAY(),"Dir=V","Dts=S","Sort=A","Quote=C","QtTyp=P","Days=T","Fill=P","Per=cd","DtFmt=D","cols=2;rows=3200")</f>
        <v/>
      </c>
      <c r="CU2" s="6">
        <f>BDH(CV$1,"PX_LAST","2015-01-01",TODAY(),"Dir=V","Dts=S","Sort=A","Quote=C","QtTyp=P","Days=T","Fill=P","Per=cd","DtFmt=D","cols=2;rows=3200")</f>
        <v/>
      </c>
      <c r="CW2" s="6">
        <f>BDH(CX$1,"PX_LAST","2015-01-01",TODAY(),"Dir=V","Dts=S","Sort=A","Quote=C","QtTyp=P","Days=T","Fill=P","Per=cd","DtFmt=D","cols=2;rows=3200")</f>
        <v/>
      </c>
      <c r="CY2" s="6">
        <f>BDH(CZ$1,"PX_LAST","2015-01-01",TODAY(),"Dir=V","Dts=S","Sort=A","Quote=C","QtTyp=P","Days=T","Fill=P","Per=cd","DtFmt=D","cols=2;rows=3200")</f>
        <v/>
      </c>
      <c r="DA2" s="6">
        <f>BDH(DB$1,"PX_LAST","2015-01-01",TODAY(),"Dir=V","Dts=S","Sort=A","Quote=C","QtTyp=P","Days=T","Fill=P","Per=cd","DtFmt=D","cols=2;rows=3200")</f>
        <v/>
      </c>
      <c r="DC2" s="6">
        <f>BDH(DD$1,"PX_LAST","2015-01-01",TODAY(),"Dir=V","Dts=S","Sort=A","Quote=C","QtTyp=P","Days=T","Fill=P","Per=cd","DtFmt=D","cols=2;rows=3200")</f>
        <v/>
      </c>
      <c r="DE2" s="6">
        <f>BDH(DF$1,"PX_LAST","2015-01-01",TODAY(),"Dir=V","Dts=S","Sort=A","Quote=C","QtTyp=P","Days=T","Fill=P","Per=cd","DtFmt=D","cols=2;rows=3200")</f>
        <v/>
      </c>
      <c r="DG2" s="6">
        <f>BDH(DH$1,"PX_LAST","2015-01-01",TODAY(),"Dir=V","Dts=S","Sort=A","Quote=C","QtTyp=P","Days=T","Fill=P","Per=cd","DtFmt=D","cols=2;rows=3200")</f>
        <v/>
      </c>
      <c r="DI2" s="6">
        <f>BDH(DJ$1,"PX_LAST","2015-01-01",TODAY(),"Dir=V","Dts=S","Sort=A","Quote=C","QtTyp=P","Days=T","Fill=P","Per=cd","DtFmt=D","cols=2;rows=3200")</f>
        <v/>
      </c>
      <c r="DK2" s="6">
        <f>BDH(DL$1,"PX_LAST","2015-01-01",TODAY(),"Dir=V","Dts=S","Sort=A","Quote=C","QtTyp=P","Days=T","Fill=P","Per=cd","DtFmt=D","cols=2;rows=3200")</f>
        <v/>
      </c>
      <c r="DM2" s="6">
        <f>BDH(DN$1,"PX_LAST","2015-01-01",TODAY(),"Dir=V","Dts=S","Sort=A","Quote=C","QtTyp=P","Days=T","Fill=P","Per=cd","DtFmt=D","cols=2;rows=3200")</f>
        <v/>
      </c>
      <c r="DO2" s="6">
        <f>BDH(DP$1,"PX_LAST","2015-01-01",TODAY(),"Dir=V","Dts=S","Sort=A","Quote=C","QtTyp=P","Days=T","Fill=P","Per=cd","DtFmt=D","cols=2;rows=3200")</f>
        <v/>
      </c>
      <c r="DQ2" s="6">
        <f>BDH(DR$1,"PX_LAST","2015-01-01",TODAY(),"Dir=V","Dts=S","Sort=A","Quote=C","QtTyp=P","Days=T","Fill=P","Per=cd","DtFmt=D","cols=2;rows=3200")</f>
        <v/>
      </c>
      <c r="DS2" s="6">
        <f>BDH(DT$1,"PX_LAST","2015-01-01",TODAY(),"Dir=V","Dts=S","Sort=A","Quote=C","QtTyp=P","Days=T","Fill=P","Per=cd","DtFmt=D","cols=2;rows=3200")</f>
        <v/>
      </c>
      <c r="DU2" s="6">
        <f>BDH(DV$1,"PX_LAST","2015-01-01",TODAY(),"Dir=V","Dts=S","Sort=A","Quote=C","QtTyp=P","Days=T","Fill=P","Per=cd","DtFmt=D","cols=2;rows=3200")</f>
        <v/>
      </c>
      <c r="DW2" s="6">
        <f>BDH(DX$1,"PX_LAST","2015-01-01",TODAY(),"Dir=V","Dts=S","Sort=A","Quote=C","QtTyp=P","Days=T","Fill=P","Per=cd","DtFmt=D","cols=2;rows=3200")</f>
        <v/>
      </c>
      <c r="DY2" s="6">
        <f>BDH(DZ$1,"PX_LAST","2015-01-01",TODAY(),"Dir=V","Dts=S","Sort=A","Quote=C","QtTyp=P","Days=T","Fill=P","Per=cd","DtFmt=D","cols=2;rows=3200")</f>
        <v/>
      </c>
      <c r="EA2" s="6">
        <f>BDH(EB$1,"PX_LAST","2015-01-01",TODAY(),"Dir=V","Dts=S","Sort=A","Quote=C","QtTyp=P","Days=T","Fill=P","Per=cd","DtFmt=D","cols=2;rows=3200")</f>
        <v/>
      </c>
      <c r="EC2" s="6">
        <f>BDH(ED$1,"PX_LAST","2015-01-01",TODAY(),"Dir=V","Dts=S","Sort=A","Quote=C","QtTyp=P","Days=T","Fill=P","Per=cd","DtFmt=D","cols=2;rows=3200")</f>
        <v/>
      </c>
      <c r="EE2" s="6">
        <f>BDH(EF$1,"PX_LAST","2015-01-01",TODAY(),"Dir=V","Dts=S","Sort=A","Quote=C","QtTyp=P","Days=T","Fill=P","Per=cd","DtFmt=D","cols=2;rows=3200")</f>
        <v/>
      </c>
      <c r="EG2" s="6">
        <f>BDH(EH$1,"PX_LAST","2015-01-01",TODAY(),"Dir=V","Dts=S","Sort=A","Quote=C","QtTyp=P","Days=T","Fill=P","Per=cd","DtFmt=D","cols=2;rows=3200")</f>
        <v/>
      </c>
      <c r="EI2" s="6">
        <f>BDH(EJ$1,"PX_LAST","2015-01-01",TODAY(),"Dir=V","Dts=S","Sort=A","Quote=C","QtTyp=P","Days=T","Fill=P","Per=cd","DtFmt=D","cols=2;rows=3200")</f>
        <v/>
      </c>
      <c r="EK2" s="6">
        <f>BDH(EL$1,"PX_LAST","2021-01-28",TODAY(),"Dir=V","Dts=S","Sort=A","Quote=C","QtTyp=P","Days=T","Fill=P","Per=cd","DtFmt=D","cols=2;rows=3200")</f>
        <v/>
      </c>
      <c r="EM2" s="6">
        <f>BDH(EN$1,"PX_LAST","2015-01-01",TODAY(),"Dir=V","Dts=S","Sort=A","Quote=C","QtTyp=P","Days=T","Fill=P","Per=cd","DtFmt=D","cols=2;rows=3200")</f>
        <v/>
      </c>
      <c r="EO2" s="6">
        <f>BDH(EP$1,"PX_LAST","2015-01-01",TODAY(),"Dir=V","Dts=S","Sort=A","Quote=C","QtTyp=P","Days=T","Fill=P","Per=cd","DtFmt=D","cols=2;rows=3200")</f>
        <v/>
      </c>
      <c r="EQ2" s="6">
        <f>BDH(ER$1,"PX_LAST","2015-01-01",TODAY(),"Dir=V","Dts=S","Sort=A","Quote=C","QtTyp=P","Days=T","Fill=P","Per=cd","DtFmt=D","cols=2;rows=3200")</f>
        <v/>
      </c>
      <c r="ES2" s="6">
        <f>BDH(ET$1,"PX_LAST","2015-01-01",TODAY(),"Dir=V","Dts=S","Sort=A","Quote=C","QtTyp=P","Days=T","Fill=P","Per=cd","DtFmt=D","cols=2;rows=3200")</f>
        <v/>
      </c>
      <c r="EU2" s="6">
        <f>BDH(EV$1,"PX_LAST","2015-01-01",TODAY(),"Dir=V","Dts=S","Sort=A","Quote=C","QtTyp=P","Days=T","Fill=P","Per=cd","DtFmt=D","cols=2;rows=3200")</f>
        <v/>
      </c>
      <c r="EW2" s="6">
        <f>BDH(EX$1,"PX_LAST","2015-01-01",TODAY(),"Dir=V","Dts=S","Sort=A","Quote=C","QtTyp=P","Days=T","Fill=P","Per=cd","DtFmt=D","cols=2;rows=3200")</f>
        <v/>
      </c>
      <c r="EY2" s="6">
        <f>BDH(EZ$1,"PX_LAST","2015-01-01",TODAY(),"Dir=V","Dts=S","Sort=A","Quote=C","QtTyp=P","Days=T","Fill=P","Per=cd","DtFmt=D","cols=2;rows=3200")</f>
        <v/>
      </c>
      <c r="FA2" s="6">
        <f>BDH(FB$1,"PX_LAST","2015-01-01",TODAY(),"Dir=V","Dts=S","Sort=A","Quote=C","QtTyp=P","Days=T","Fill=P","Per=cd","DtFmt=D","cols=2;rows=3200")</f>
        <v/>
      </c>
      <c r="FC2" s="6">
        <f>BDH(FD$1,"PX_LAST","2015-01-01",TODAY(),"Dir=V","Dts=S","Sort=A","Quote=C","QtTyp=P","Days=T","Fill=P","Per=cd","DtFmt=D","cols=2;rows=3200")</f>
        <v/>
      </c>
      <c r="FE2" s="6">
        <f>BDH(FF$1,"PX_LAST","2015-01-01",TODAY(),"Dir=V","Dts=S","Sort=A","Quote=C","QtTyp=P","Days=T","Fill=P","Per=cd","DtFmt=D","cols=2;rows=3200")</f>
        <v/>
      </c>
      <c r="FG2" s="6">
        <f>BDH(FH$1,"PX_LAST","2019-06-01",TODAY(),"Dir=V","Dts=S","Sort=A","Quote=C","QtTyp=P","Days=T","Fill=P","Per=cd","DtFmt=D","cols=2;rows=3200")</f>
        <v/>
      </c>
      <c r="FI2" s="6">
        <f>BDH(FJ$1,"PX_LAST","2015-01-01",TODAY(),"Dir=V","Dts=S","Sort=A","Quote=C","QtTyp=P","Days=T","Fill=P","Per=cd","DtFmt=D","cols=2;rows=3200")</f>
        <v/>
      </c>
      <c r="FK2" s="6">
        <f>BDH(FL$1,"PX_LAST","2021-09-17",TODAY(),"Dir=V","Dts=S","Sort=A","Quote=C","QtTyp=P","Days=T","Fill=P","Per=cd","DtFmt=D","cols=2;rows=3200")</f>
        <v/>
      </c>
      <c r="FM2" s="6">
        <f>BDH(FN$1,"PX_LAST","2015-01-01",TODAY(),"Dir=V","Dts=S","Sort=A","Quote=C","QtTyp=P","Days=T","Fill=P","Per=cd","DtFmt=D","cols=2;rows=3200")</f>
        <v/>
      </c>
      <c r="FO2" s="6">
        <f>BDH(FP$1,"PX_LAST","2015-01-01",TODAY(),"Dir=V","Dts=S","Sort=A","Quote=C","QtTyp=P","Days=T","Fill=P","Per=cd","DtFmt=D","cols=2;rows=3200")</f>
        <v/>
      </c>
      <c r="FQ2" s="6">
        <f>BDH(FR$1,"PX_LAST","2015-01-01",TODAY(),"Dir=V","Dts=S","Sort=A","Quote=C","QtTyp=P","Days=T","Fill=P","Per=cd","DtFmt=D","cols=2;rows=3200")</f>
        <v/>
      </c>
      <c r="FS2" s="6">
        <f>BDH(FT$1,"PX_LAST","2015-01-01",TODAY(),"Dir=V","Dts=S","Sort=A","Quote=C","QtTyp=P","Days=T","Fill=P","Per=cd","DtFmt=D","cols=2;rows=3200")</f>
        <v/>
      </c>
      <c r="FU2" s="6">
        <f>BDH(FV$1,"PX_LAST","2015-01-01",TODAY(),"Dir=V","Dts=S","Sort=A","Quote=C","QtTyp=P","Days=T","Fill=P","Per=cd","DtFmt=D","cols=2;rows=3200")</f>
        <v/>
      </c>
      <c r="FW2" s="6">
        <f>BDH(FX$1,"PX_LAST","2015-01-01",TODAY(),"Dir=V","Dts=S","Sort=A","Quote=C","QtTyp=P","Days=T","Fill=P","Per=cd","DtFmt=D","cols=2;rows=3200")</f>
        <v/>
      </c>
      <c r="FY2" s="6">
        <f>BDH(FZ$1,"PX_LAST","2015-01-01",TODAY(),"Dir=V","Dts=S","Sort=A","Quote=C","QtTyp=P","Days=T","Fill=P","Per=cd","DtFmt=D","cols=2;rows=3200")</f>
        <v/>
      </c>
      <c r="GA2" s="6">
        <f>BDH(GB$1,"PX_LAST","2015-01-01",TODAY(),"Dir=V","Dts=S","Sort=A","Quote=C","QtTyp=P","Days=T","Fill=P","Per=cd","DtFmt=D","cols=2;rows=3200")</f>
        <v/>
      </c>
      <c r="GC2" s="6">
        <f>BDH(GD$1,"PX_LAST","2015-01-01",TODAY(),"Dir=V","Dts=S","Sort=A","Quote=C","QtTyp=P","Days=T","Fill=P","Per=cd","DtFmt=D","cols=2;rows=3200")</f>
        <v/>
      </c>
      <c r="GE2" s="6">
        <f>BDH(GF$1,"PX_LAST","2015-01-01",TODAY(),"Dir=V","Dts=S","Sort=A","Quote=C","QtTyp=P","Days=T","Fill=P","Per=cd","DtFmt=D","cols=2;rows=3200")</f>
        <v/>
      </c>
      <c r="GG2" s="6">
        <f>BDH(GH$1,"PX_LAST","2015-01-01",TODAY(),"Dir=V","Dts=S","Sort=A","Quote=C","QtTyp=P","Days=T","Fill=P","Per=cd","DtFmt=D","cols=2;rows=3200")</f>
        <v/>
      </c>
      <c r="GI2" s="6">
        <f>BDH(GJ$1,"PX_LAST","2015-01-01",TODAY(),"Dir=V","Dts=S","Sort=A","Quote=C","QtTyp=P","Days=T","Fill=P","Per=cd","DtFmt=D","cols=2;rows=3200")</f>
        <v/>
      </c>
      <c r="GK2" s="6">
        <f>BDH(GL$1,"PX_LAST","2015-01-01",TODAY(),"Dir=V","Dts=S","Sort=A","Quote=C","QtTyp=P","Days=T","Fill=P","Per=cd","DtFmt=D","cols=2;rows=3200")</f>
        <v/>
      </c>
      <c r="GM2" s="6">
        <f>BDH(GN$1,"PX_LAST","2015-01-01",TODAY(),"Dir=V","Dts=S","Sort=A","Quote=C","QtTyp=P","Days=T","Fill=P","Per=cd","DtFmt=D","cols=2;rows=3200")</f>
        <v/>
      </c>
      <c r="GO2" s="6">
        <f>BDH(GP$1,"PX_LAST","2015-01-01",TODAY(),"Dir=V","Dts=S","Sort=A","Quote=C","QtTyp=P","Days=T","Fill=P","Per=cd","DtFmt=D","cols=2;rows=3200")</f>
        <v/>
      </c>
      <c r="GQ2" s="6">
        <f>BDH(GR$1,"PX_LAST","2015-01-01",TODAY(),"Dir=V","Dts=S","Sort=A","Quote=C","QtTyp=P","Days=T","Fill=P","Per=cd","DtFmt=D","cols=2;rows=3200")</f>
        <v/>
      </c>
      <c r="GS2" s="6">
        <f>BDH(GT$1,"PX_LAST","2015-01-01",TODAY(),"Dir=V","Dts=S","Sort=A","Quote=C","QtTyp=P","Days=T","Fill=P","Per=cd","DtFmt=D","cols=2;rows=3200")</f>
        <v/>
      </c>
      <c r="GU2" s="6">
        <f>BDH(GV$1,"PX_LAST","2015-01-01",TODAY(),"Dir=V","Dts=S","Sort=A","Quote=C","QtTyp=P","Days=T","Fill=P","Per=cd","DtFmt=D","cols=2;rows=3200")</f>
        <v/>
      </c>
      <c r="GW2" s="6">
        <f>BDH(GX$1,"PX_LAST","2015-01-01",TODAY(),"Dir=V","Dts=S","Sort=A","Quote=C","QtTyp=P","Days=T","Fill=P","Per=cd","DtFmt=D","cols=2;rows=3200")</f>
        <v/>
      </c>
      <c r="GY2" s="6">
        <f>BDH(GZ$1,"PX_LAST","2015-01-01",TODAY(),"Dir=V","Dts=S","Sort=A","Quote=C","QtTyp=P","Days=T","Fill=P","Per=cd","DtFmt=D","cols=2;rows=3200")</f>
        <v/>
      </c>
      <c r="HA2" s="6">
        <f>BDH(HB$1,"PX_LAST","2015-01-01",TODAY(),"Dir=V","Dts=S","Sort=A","Quote=C","QtTyp=P","Days=T","Fill=P","Per=cd","DtFmt=D","cols=2;rows=3200")</f>
        <v/>
      </c>
      <c r="HC2" s="6">
        <f>BDH(HD$1,"PX_LAST","2015-01-01",TODAY(),"Dir=V","Dts=S","Sort=A","Quote=C","QtTyp=P","Days=T","Fill=P","Per=cd","DtFmt=D","cols=2;rows=3200")</f>
        <v/>
      </c>
      <c r="HE2" s="6">
        <f>BDH(HF$1,"PX_LAST","2015-01-01",TODAY(),"Dir=V","Dts=S","Sort=A","Quote=C","QtTyp=P","Days=T","Fill=P","Per=cd","DtFmt=D","cols=2;rows=3200")</f>
        <v/>
      </c>
      <c r="HG2" s="6">
        <f>BDH(HH$1,"PX_LAST","2015-01-01",TODAY(),"Dir=V","Dts=S","Sort=A","Quote=C","QtTyp=P","Days=T","Fill=P","Per=cd","DtFmt=D","cols=2;rows=3200")</f>
        <v/>
      </c>
      <c r="HI2" s="6">
        <f>BDH(HJ$1,"PX_LAST","2018-01-01",TODAY(),"Dir=V","Dts=S","Sort=A","Quote=C","QtTyp=P","Days=T","Fill=P","Per=cd","DtFmt=D","cols=2;rows=3200")</f>
        <v/>
      </c>
      <c r="HK2" s="6">
        <f>BDH(HL$1,"PX_LAST","2018-01-01",TODAY(),"Dir=V","Dts=S","Sort=A","Quote=C","QtTyp=P","Days=T","Fill=P","Per=cd","DtFmt=D","cols=2;rows=3200")</f>
        <v/>
      </c>
      <c r="HM2" s="6">
        <f>BDH(HN$1,"PX_LAST","2018-01-01",TODAY(),"Dir=V","Dts=S","Sort=A","Quote=C","QtTyp=P","Days=T","Fill=P","Per=cd","DtFmt=D","cols=2;rows=3200")</f>
        <v/>
      </c>
      <c r="HO2" s="6">
        <f>BDH(HP$1,"PX_LAST","2018-01-01",TODAY(),"Dir=V","Dts=S","Sort=A","Quote=C","QtTyp=P","Days=T","Fill=P","Per=cd","DtFmt=D","cols=2;rows=3200")</f>
        <v/>
      </c>
      <c r="HQ2" s="6">
        <f>BDH(HR$1,"PX_LAST","2018-01-01",TODAY(),"Dir=V","Dts=S","Sort=A","Quote=C","QtTyp=P","Days=T","Fill=P","Per=cd","DtFmt=D","cols=2;rows=3200")</f>
        <v/>
      </c>
      <c r="HS2" s="6">
        <f>BDH(HT$1,"PX_LAST","2018-01-01",TODAY(),"Dir=V","Dts=S","Sort=A","Quote=C","QtTyp=P","Days=T","Fill=P","Per=cd","DtFmt=D","cols=2;rows=3200")</f>
        <v/>
      </c>
      <c r="HU2" s="6">
        <f>BDH(HV$1,"PX_LAST","2018-01-01",TODAY(),"Dir=V","Dts=S","Sort=A","Quote=C","QtTyp=P","Days=T","Fill=P","Per=cd","DtFmt=D","cols=2;rows=3200")</f>
        <v/>
      </c>
      <c r="HW2" s="6">
        <f>BDH(HX$1,"PX_LAST","2018-01-01",TODAY(),"Dir=V","Dts=S","Sort=A","Quote=C","QtTyp=P","Days=T","Fill=P","Per=cd","DtFmt=D","cols=2;rows=3200")</f>
        <v/>
      </c>
      <c r="HY2" s="6">
        <f>BDH(HZ$1,"PX_LAST","2018-01-01",TODAY(),"Dir=V","Dts=S","Sort=A","Quote=C","QtTyp=P","Days=T","Fill=P","Per=cd","DtFmt=D","cols=2;rows=3200")</f>
        <v/>
      </c>
      <c r="IA2" s="6">
        <f>BDH(IB$1,"PX_LAST","2018-01-01",TODAY(),"Dir=V","Dts=S","Sort=A","Quote=C","QtTyp=P","Days=T","Fill=P","Per=cd","DtFmt=D","cols=2;rows=3200")</f>
        <v/>
      </c>
      <c r="IC2" s="6">
        <f>BDH(ID$1,"PX_LAST","2018-01-01",TODAY(),"Dir=V","Dts=S","Sort=A","Quote=C","QtTyp=P","Days=T","Fill=P","Per=cd","DtFmt=D","cols=2;rows=3200")</f>
        <v/>
      </c>
      <c r="IE2" s="6">
        <f>BDH(IF$1,"PX_LAST","2018-01-01",TODAY(),"Dir=V","Dts=S","Sort=A","Quote=C","QtTyp=P","Days=T","Fill=P","Per=cd","DtFmt=D","cols=2;rows=3200")</f>
        <v/>
      </c>
      <c r="IG2" s="6">
        <f>BDH(IH$1,"PX_LAST","2018-01-01",TODAY(),"Dir=V","Dts=S","Sort=A","Quote=C","QtTyp=P","Days=T","Fill=P","Per=cd","DtFmt=D","cols=2;rows=3200")</f>
        <v/>
      </c>
      <c r="II2" s="6">
        <f>BDH(IJ$1,"PX_LAST","2018-01-01",TODAY(),"Dir=V","Dts=S","Sort=A","Quote=C","QtTyp=P","Days=T","Fill=P","Per=cd","DtFmt=D","cols=2;rows=3200")</f>
        <v/>
      </c>
      <c r="IK2" s="6">
        <f>BDH(IL$1,"PX_LAST","2018-01-01",TODAY(),"Dir=V","Dts=S","Sort=A","Quote=C","QtTyp=P","Days=T","Fill=P","Per=cd","DtFmt=D","cols=2;rows=3200")</f>
        <v/>
      </c>
      <c r="IM2" s="6">
        <f>BDH(IN$1,"PX_LAST","2018-01-01",TODAY(),"Dir=V","Dts=S","Sort=A","Quote=C","QtTyp=P","Days=T","Fill=P","Per=cd","DtFmt=D","cols=2;rows=3200")</f>
        <v/>
      </c>
      <c r="IO2" s="6">
        <f>BDH(IP$1,"PX_LAST","2018-01-01",TODAY(),"Dir=V","Dts=S","Sort=A","Quote=C","QtTyp=P","Days=T","Fill=P","Per=cd","DtFmt=D","cols=2;rows=3200")</f>
        <v/>
      </c>
      <c r="IQ2" s="6">
        <f>BDH(IR$1,"PX_LAST","2018-01-01",TODAY(),"Dir=V","Dts=S","Sort=A","Quote=C","QtTyp=P","Days=T","Fill=P","Per=cd","DtFmt=D","cols=2;rows=3200")</f>
        <v/>
      </c>
      <c r="IS2" s="6">
        <f>BDH(IT$1,"PX_LAST","2018-01-01",TODAY(),"Dir=V","Dts=S","Sort=A","Quote=C","QtTyp=P","Days=T","Fill=P","Per=cd","DtFmt=D","cols=2;rows=3200")</f>
        <v/>
      </c>
      <c r="IU2" s="6">
        <f>BDH(IV$1,"PX_LAST","2018-01-01",TODAY(),"Dir=V","Dts=S","Sort=A","Quote=C","QtTyp=P","Days=T","Fill=P","Per=cd","DtFmt=D","cols=2;rows=3200")</f>
        <v/>
      </c>
      <c r="IW2" s="6">
        <f>BDH(IX$1,"PX_LAST","2018-01-01",TODAY(),"Dir=V","Dts=S","Sort=A","Quote=C","QtTyp=P","Days=T","Fill=P","Per=cd","DtFmt=D","cols=2;rows=3200")</f>
        <v/>
      </c>
      <c r="IY2" s="6">
        <f>BDH(IZ$1,"PX_LAST","2018-01-01",TODAY(),"Dir=V","Dts=S","Sort=A","Quote=C","QtTyp=P","Days=T","Fill=P","Per=cd","DtFmt=D","cols=2;rows=3200")</f>
        <v/>
      </c>
      <c r="JA2" s="6">
        <f>BDH(JB$1,"PX_LAST","2018-01-01",TODAY(),"Dir=V","Dts=S","Sort=A","Quote=C","QtTyp=P","Days=T","Fill=P","Per=cd","DtFmt=D","cols=2;rows=3200")</f>
        <v/>
      </c>
      <c r="JC2" s="6">
        <f>BDH(JD$1,"PX_LAST","2018-01-01",TODAY(),"Dir=V","Dts=S","Sort=A","Quote=C","QtTyp=P","Days=T","Fill=P","Per=cd","DtFmt=D","cols=2;rows=3200")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1" customWidth="1" min="3" max="3"/>
    <col width="13" customWidth="1" min="4" max="4"/>
    <col width="11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SHSPSCFI Index</t>
        </is>
      </c>
      <c r="C1" s="3" t="inlineStr">
        <is>
          <t>Date</t>
        </is>
      </c>
      <c r="D1" s="3" t="inlineStr">
        <is>
          <t>WCIDCOMP Index</t>
        </is>
      </c>
      <c r="E1" s="3" t="inlineStr">
        <is>
          <t>Date</t>
        </is>
      </c>
      <c r="F1" s="3" t="inlineStr">
        <is>
          <t>WCIDSHLA Index</t>
        </is>
      </c>
    </row>
    <row r="2">
      <c r="A2" s="6">
        <f>BDH(B$1,"PX_LAST","2015-01-01",TODAY(),"Dir=V","Dts=S","Sort=A","Quote=C","QtTyp=P","Days=T","Fill=P","Per=cw","DtFmt=D","cols=2;rows=700")</f>
        <v/>
      </c>
      <c r="C2" s="6">
        <f>BDH(D$1,"PX_LAST","2015-01-01",TODAY(),"Dir=V","Dts=S","Sort=A","Quote=C","QtTyp=P","Days=T","Fill=P","Per=cw","DtFmt=D","cols=2;rows=700")</f>
        <v/>
      </c>
      <c r="E2" s="6">
        <f>BDH(F$1,"PX_LAST","2015-01-01",TODAY(),"Dir=V","Dts=S","Sort=A","Quote=C","QtTyp=P","Days=T","Fill=P","Per=cw","DtFmt=D","cols=2;rows=700")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1" customWidth="1" min="3" max="3"/>
    <col width="13" customWidth="1" min="4" max="4"/>
    <col width="11" customWidth="1" min="5" max="5"/>
    <col width="13" customWidth="1" min="6" max="6"/>
    <col width="11" customWidth="1" min="7" max="7"/>
    <col width="13" customWidth="1" min="8" max="8"/>
    <col width="11" customWidth="1" min="9" max="9"/>
    <col width="13" customWidth="1" min="10" max="10"/>
    <col width="11" customWidth="1" min="11" max="11"/>
    <col width="13" customWidth="1" min="12" max="12"/>
  </cols>
  <sheetData>
    <row r="1">
      <c r="A1" s="3" t="inlineStr">
        <is>
          <t>Date</t>
        </is>
      </c>
      <c r="B1" s="3" t="inlineStr">
        <is>
          <t>CPMINDX Index</t>
        </is>
      </c>
      <c r="C1" s="3" t="inlineStr">
        <is>
          <t>Date</t>
        </is>
      </c>
      <c r="D1" s="3" t="inlineStr">
        <is>
          <t>NAPMPMI Index</t>
        </is>
      </c>
      <c r="E1" s="3" t="inlineStr">
        <is>
          <t>Date</t>
        </is>
      </c>
      <c r="F1" s="3" t="inlineStr">
        <is>
          <t>NAPMNEWO Index</t>
        </is>
      </c>
      <c r="G1" s="3" t="inlineStr">
        <is>
          <t>Date</t>
        </is>
      </c>
      <c r="H1" s="3" t="inlineStr">
        <is>
          <t>RSTAXAG% Index</t>
        </is>
      </c>
      <c r="I1" s="3" t="inlineStr">
        <is>
          <t>Date</t>
        </is>
      </c>
      <c r="J1" s="3" t="inlineStr">
        <is>
          <t>MTIBCHNG Index</t>
        </is>
      </c>
      <c r="K1" s="3" t="inlineStr">
        <is>
          <t>Date</t>
        </is>
      </c>
      <c r="L1" s="3" t="inlineStr">
        <is>
          <t>KOEXTOTY Index</t>
        </is>
      </c>
    </row>
    <row r="2">
      <c r="A2" s="6">
        <f>BDH(B$1,"PX_LAST","2015-01-01",TODAY(),"Dir=V","Dts=S","Sort=A","Quote=C","QtTyp=P","Days=T","Fill=P","Per=cm","DtFmt=D","cols=2;rows=160")</f>
        <v/>
      </c>
      <c r="C2" s="6">
        <f>BDH(D$1,"PX_LAST","2015-01-01",TODAY(),"Dir=V","Dts=S","Sort=A","Quote=C","QtTyp=P","Days=T","Fill=P","Per=cm","DtFmt=D","cols=2;rows=160")</f>
        <v/>
      </c>
      <c r="E2" s="6">
        <f>BDH(F$1,"PX_LAST","2015-01-01",TODAY(),"Dir=V","Dts=S","Sort=A","Quote=C","QtTyp=P","Days=T","Fill=P","Per=cm","DtFmt=D","cols=2;rows=160")</f>
        <v/>
      </c>
      <c r="G2" s="6">
        <f>BDH(H$1,"PX_LAST","2015-01-01",TODAY(),"Dir=V","Dts=S","Sort=A","Quote=C","QtTyp=P","Days=T","Fill=P","Per=cm","DtFmt=D","cols=2;rows=160")</f>
        <v/>
      </c>
      <c r="I2" s="6">
        <f>BDH(J$1,"PX_LAST","2015-01-01",TODAY(),"Dir=V","Dts=S","Sort=A","Quote=C","QtTyp=P","Days=T","Fill=P","Per=cm","DtFmt=D","cols=2;rows=160")</f>
        <v/>
      </c>
      <c r="K2" s="6">
        <f>BDH(L$1,"PX_LAST","2015-01-01",TODAY(),"Dir=V","Dts=S","Sort=A","Quote=C","QtTyp=P","Days=T","Fill=P","Per=cm","DtFmt=D","cols=2;rows=160")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2026-09-11T00:45:40Z</dcterms:created>
  <dcterms:modified xmlns:dcterms="http://purl.org/dc/terms/" xmlns:xsi="http://www.w3.org/2001/XMLSchema-instance" xsi:type="dcterms:W3CDTF">2026-09-11T00:45:40Z</dcterms:modified>
</cp:coreProperties>
</file>